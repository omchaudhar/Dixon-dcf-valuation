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" sheetId="2" state="visible" r:id="rId2"/>
    <sheet xmlns:r="http://schemas.openxmlformats.org/officeDocument/2006/relationships" name="IS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CF" sheetId="5" state="visible" r:id="rId5"/>
    <sheet xmlns:r="http://schemas.openxmlformats.org/officeDocument/2006/relationships" name="DCF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COMP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;(0.0%);&quot;-&quot;"/>
    <numFmt numFmtId="165" formatCode="#,##0;(#,##0);&quot;-&quot;"/>
    <numFmt numFmtId="166" formatCode="0.0"/>
    <numFmt numFmtId="167" formatCode="#,##0.0;(#,##0.0);&quot;-&quot;"/>
    <numFmt numFmtId="168" formatCode="0.0x"/>
    <numFmt numFmtId="169" formatCode="0.0000"/>
  </numFmts>
  <fonts count="2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b val="1"/>
      <color rgb="00FFFFFF"/>
      <sz val="13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b val="1"/>
      <color rgb="00FFFFFF"/>
      <sz val="12"/>
    </font>
    <font>
      <name val="Calibri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2E75B6"/>
      <sz val="10"/>
    </font>
    <font>
      <name val="Calibri"/>
      <b val="1"/>
      <color rgb="000070C0"/>
      <sz val="10"/>
    </font>
    <font>
      <name val="Calibri"/>
      <b val="1"/>
      <color rgb="00000000"/>
      <sz val="10"/>
    </font>
    <font>
      <name val="Calibri"/>
      <b val="1"/>
      <color rgb="00008000"/>
      <sz val="10"/>
    </font>
    <font>
      <name val="Calibri"/>
      <b val="1"/>
      <color rgb="00FFC000"/>
      <sz val="10"/>
    </font>
    <font>
      <name val="Calibri"/>
      <i val="1"/>
      <color rgb="00595959"/>
      <sz val="9"/>
    </font>
    <font>
      <name val="Calibri"/>
      <color rgb="000070C0"/>
      <sz val="10"/>
    </font>
    <font>
      <name val="Calibri"/>
      <i val="1"/>
      <color rgb="000070C0"/>
      <sz val="9"/>
      <u val="single"/>
    </font>
    <font>
      <name val="Calibri"/>
      <color rgb="00008000"/>
      <sz val="10"/>
    </font>
    <font>
      <name val="Calibri"/>
      <b val="1"/>
      <color rgb="00FF0000"/>
      <sz val="10"/>
    </font>
    <font>
      <name val="Calibri"/>
      <b val="1"/>
      <color rgb="00008000"/>
      <sz val="11"/>
    </font>
    <font>
      <name val="Calibri"/>
      <b val="1"/>
      <sz val="11"/>
    </font>
    <font>
      <name val="Calibri"/>
      <b val="1"/>
      <color rgb="001F3864"/>
      <sz val="11"/>
    </font>
    <font>
      <name val="Calibri"/>
      <b val="1"/>
      <color rgb="001F3864"/>
      <sz val="12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top style="thin"/>
      <bottom style="double"/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3" fillId="0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vertical="top" wrapText="1" indent="1"/>
    </xf>
    <xf numFmtId="0" fontId="7" fillId="2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indent="1"/>
    </xf>
    <xf numFmtId="0" fontId="10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7" fillId="3" borderId="0" applyAlignment="1" pivotButton="0" quotePrefix="0" xfId="0">
      <alignment horizontal="left" vertical="center" indent="1"/>
    </xf>
    <xf numFmtId="0" fontId="7" fillId="3" borderId="0" applyAlignment="1" pivotButton="0" quotePrefix="0" xfId="0">
      <alignment horizontal="center" vertical="center"/>
    </xf>
    <xf numFmtId="164" fontId="15" fillId="5" borderId="0" applyAlignment="1" pivotButton="0" quotePrefix="0" xfId="0">
      <alignment horizontal="right" vertical="center"/>
    </xf>
    <xf numFmtId="164" fontId="15" fillId="4" borderId="0" applyAlignment="1" pivotButton="0" quotePrefix="0" xfId="0">
      <alignment horizontal="right" vertical="center"/>
    </xf>
    <xf numFmtId="0" fontId="14" fillId="4" borderId="0" applyAlignment="1" pivotButton="0" quotePrefix="0" xfId="0">
      <alignment horizontal="left" vertical="center" indent="1"/>
    </xf>
    <xf numFmtId="164" fontId="15" fillId="0" borderId="0" applyAlignment="1" pivotButton="0" quotePrefix="0" xfId="0">
      <alignment horizontal="right" vertical="center"/>
    </xf>
    <xf numFmtId="165" fontId="15" fillId="4" borderId="0" applyAlignment="1" pivotButton="0" quotePrefix="0" xfId="0">
      <alignment horizontal="right" vertical="center"/>
    </xf>
    <xf numFmtId="166" fontId="15" fillId="4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164" fontId="4" fillId="4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 indent="1"/>
    </xf>
    <xf numFmtId="0" fontId="11" fillId="4" borderId="0" applyAlignment="1" pivotButton="0" quotePrefix="0" xfId="0">
      <alignment horizontal="left" vertical="center" indent="1"/>
    </xf>
    <xf numFmtId="165" fontId="4" fillId="4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indent="2"/>
    </xf>
    <xf numFmtId="165" fontId="15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0" fontId="11" fillId="6" borderId="1" applyAlignment="1" pivotButton="0" quotePrefix="0" xfId="0">
      <alignment horizontal="left" vertical="center" indent="1"/>
    </xf>
    <xf numFmtId="165" fontId="4" fillId="0" borderId="1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center" indent="2"/>
    </xf>
    <xf numFmtId="0" fontId="11" fillId="0" borderId="1" applyAlignment="1" pivotButton="0" quotePrefix="0" xfId="0">
      <alignment horizontal="left" vertical="center" indent="1"/>
    </xf>
    <xf numFmtId="165" fontId="17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left" vertical="center" indent="1"/>
    </xf>
    <xf numFmtId="164" fontId="17" fillId="4" borderId="0" applyAlignment="1" pivotButton="0" quotePrefix="0" xfId="0">
      <alignment horizontal="right" vertical="center"/>
    </xf>
    <xf numFmtId="164" fontId="17" fillId="0" borderId="0" applyAlignment="1" pivotButton="0" quotePrefix="0" xfId="0">
      <alignment horizontal="right" vertical="center"/>
    </xf>
    <xf numFmtId="166" fontId="17" fillId="4" borderId="0" applyAlignment="1" pivotButton="0" quotePrefix="0" xfId="0">
      <alignment horizontal="right" vertical="center"/>
    </xf>
    <xf numFmtId="166" fontId="17" fillId="0" borderId="0" applyAlignment="1" pivotButton="0" quotePrefix="0" xfId="0">
      <alignment horizontal="right" vertical="center"/>
    </xf>
    <xf numFmtId="168" fontId="17" fillId="0" borderId="0" applyAlignment="1" pivotButton="0" quotePrefix="0" xfId="0">
      <alignment horizontal="right" vertical="center"/>
    </xf>
    <xf numFmtId="168" fontId="17" fillId="4" borderId="0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0" fontId="11" fillId="7" borderId="0" applyAlignment="1" pivotButton="0" quotePrefix="0" xfId="0">
      <alignment horizontal="left" vertical="center" indent="1"/>
    </xf>
    <xf numFmtId="165" fontId="11" fillId="7" borderId="0" applyAlignment="1" pivotButton="0" quotePrefix="0" xfId="0">
      <alignment horizontal="right" vertical="center"/>
    </xf>
    <xf numFmtId="165" fontId="8" fillId="7" borderId="0" applyAlignment="1" pivotButton="0" quotePrefix="0" xfId="0">
      <alignment horizontal="right" vertical="center"/>
    </xf>
    <xf numFmtId="165" fontId="18" fillId="0" borderId="0" applyAlignment="1" pivotButton="0" quotePrefix="0" xfId="0">
      <alignment horizontal="right" vertical="center"/>
    </xf>
    <xf numFmtId="165" fontId="17" fillId="4" borderId="0" applyAlignment="1" pivotButton="0" quotePrefix="0" xfId="0">
      <alignment horizontal="right" vertical="center"/>
    </xf>
    <xf numFmtId="0" fontId="11" fillId="7" borderId="1" applyAlignment="1" pivotButton="0" quotePrefix="0" xfId="0">
      <alignment horizontal="left" vertical="center" indent="1"/>
    </xf>
    <xf numFmtId="165" fontId="4" fillId="7" borderId="1" applyAlignment="1" pivotButton="0" quotePrefix="0" xfId="0">
      <alignment horizontal="right" vertical="center"/>
    </xf>
    <xf numFmtId="0" fontId="8" fillId="5" borderId="0" applyAlignment="1" pivotButton="0" quotePrefix="0" xfId="0">
      <alignment horizontal="left" vertical="center" indent="1"/>
    </xf>
    <xf numFmtId="164" fontId="19" fillId="5" borderId="0" applyAlignment="1" pivotButton="0" quotePrefix="0" xfId="0">
      <alignment horizontal="right" vertical="center"/>
    </xf>
    <xf numFmtId="0" fontId="14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0" fillId="7" borderId="1" pivotButton="0" quotePrefix="0" xfId="0"/>
    <xf numFmtId="165" fontId="8" fillId="7" borderId="1" applyAlignment="1" pivotButton="0" quotePrefix="0" xfId="0">
      <alignment horizontal="right" vertical="center"/>
    </xf>
    <xf numFmtId="0" fontId="0" fillId="0" borderId="1" pivotButton="0" quotePrefix="0" xfId="0"/>
    <xf numFmtId="166" fontId="15" fillId="0" borderId="0" applyAlignment="1" pivotButton="0" quotePrefix="0" xfId="0">
      <alignment horizontal="right" vertical="center"/>
    </xf>
    <xf numFmtId="169" fontId="4" fillId="4" borderId="0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indent="1"/>
    </xf>
    <xf numFmtId="165" fontId="4" fillId="5" borderId="0" applyAlignment="1" pivotButton="0" quotePrefix="0" xfId="0">
      <alignment horizontal="right" vertical="center"/>
    </xf>
    <xf numFmtId="165" fontId="20" fillId="7" borderId="1" applyAlignment="1" pivotButton="0" quotePrefix="0" xfId="0">
      <alignment horizontal="right" vertical="center"/>
    </xf>
    <xf numFmtId="165" fontId="17" fillId="4" borderId="0" pivotButton="0" quotePrefix="0" xfId="0"/>
    <xf numFmtId="165" fontId="15" fillId="0" borderId="0" pivotButton="0" quotePrefix="0" xfId="0"/>
    <xf numFmtId="0" fontId="21" fillId="5" borderId="0" applyAlignment="1" pivotButton="0" quotePrefix="0" xfId="0">
      <alignment horizontal="left" vertical="center" indent="1"/>
    </xf>
    <xf numFmtId="165" fontId="22" fillId="5" borderId="0" applyAlignment="1" pivotButton="0" quotePrefix="0" xfId="0">
      <alignment horizontal="right" vertical="center"/>
    </xf>
    <xf numFmtId="168" fontId="4" fillId="5" borderId="0" applyAlignment="1" pivotButton="0" quotePrefix="0" xfId="0">
      <alignment horizontal="right" vertical="center"/>
    </xf>
    <xf numFmtId="168" fontId="15" fillId="0" borderId="0" applyAlignment="1" pivotButton="0" quotePrefix="0" xfId="0">
      <alignment horizontal="right" vertical="center"/>
    </xf>
    <xf numFmtId="0" fontId="14" fillId="0" borderId="0" pivotButton="0" quotePrefix="0" xfId="0"/>
    <xf numFmtId="164" fontId="7" fillId="3" borderId="0" applyAlignment="1" pivotButton="0" quotePrefix="0" xfId="0">
      <alignment horizontal="center" vertical="center"/>
    </xf>
    <xf numFmtId="165" fontId="6" fillId="4" borderId="0" applyAlignment="1" pivotButton="0" quotePrefix="0" xfId="0">
      <alignment horizontal="center" vertical="center"/>
    </xf>
    <xf numFmtId="165" fontId="6" fillId="0" borderId="0" applyAlignment="1" pivotButton="0" quotePrefix="0" xfId="0">
      <alignment horizontal="center" vertical="center"/>
    </xf>
    <xf numFmtId="165" fontId="8" fillId="5" borderId="0" applyAlignment="1" pivotButton="0" quotePrefix="0" xfId="0">
      <alignment horizontal="center" vertical="center"/>
    </xf>
    <xf numFmtId="165" fontId="11" fillId="5" borderId="0" applyAlignment="1" pivotButton="0" quotePrefix="0" xfId="0">
      <alignment horizontal="right" vertical="center"/>
    </xf>
    <xf numFmtId="164" fontId="11" fillId="5" borderId="0" applyAlignment="1" pivotButton="0" quotePrefix="0" xfId="0">
      <alignment horizontal="center" vertical="center"/>
    </xf>
    <xf numFmtId="168" fontId="11" fillId="5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168" fontId="4" fillId="4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 indent="1"/>
    </xf>
    <xf numFmtId="164" fontId="8" fillId="7" borderId="0" applyAlignment="1" pivotButton="0" quotePrefix="0" xfId="0">
      <alignment horizontal="center" vertical="center"/>
    </xf>
    <xf numFmtId="168" fontId="8" fillId="7" borderId="0" applyAlignment="1" pivotButton="0" quotePrefix="0" xfId="0">
      <alignment horizontal="center" vertical="center"/>
    </xf>
    <xf numFmtId="165" fontId="6" fillId="4" borderId="0" applyAlignment="1" pivotButton="0" quotePrefix="0" xfId="0">
      <alignment horizontal="right" vertical="center"/>
    </xf>
    <xf numFmtId="164" fontId="6" fillId="4" borderId="0" applyAlignment="1" pivotButton="0" quotePrefix="0" xfId="0">
      <alignment horizontal="center" vertical="center"/>
    </xf>
    <xf numFmtId="168" fontId="6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5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2" customWidth="1" min="3" max="3"/>
    <col width="22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3" customWidth="1" min="10" max="10"/>
  </cols>
  <sheetData>
    <row r="2" ht="40" customHeight="1">
      <c r="B2" s="1" t="inlineStr">
        <is>
          <t>DIXON TECHNOLOGIES (INDIA) LTD.  |  NSE: DIXON  |  BSE: 541988</t>
        </is>
      </c>
    </row>
    <row r="3" ht="40" customHeight="1"/>
    <row r="4" ht="24" customHeight="1">
      <c r="B4" s="2" t="inlineStr">
        <is>
          <t>3-Statement Financial Model &amp; Discounted Cash Flow (DCF) Valuation</t>
        </is>
      </c>
    </row>
    <row r="6">
      <c r="B6" s="3" t="inlineStr">
        <is>
          <t>Analyst</t>
        </is>
      </c>
      <c r="C6" s="4" t="inlineStr">
        <is>
          <t>Om Chaudhari</t>
        </is>
      </c>
      <c r="D6" s="5" t="n"/>
      <c r="E6" s="5" t="n"/>
      <c r="F6" s="5" t="n"/>
      <c r="G6" s="5" t="n"/>
      <c r="H6" s="5" t="n"/>
      <c r="I6" s="5" t="n"/>
    </row>
    <row r="7">
      <c r="B7" s="6" t="inlineStr">
        <is>
          <t>Institution</t>
        </is>
      </c>
      <c r="C7" s="7" t="inlineStr">
        <is>
          <t>Indian Institute of Technology, Bombay — B.Tech (Year 2)</t>
        </is>
      </c>
    </row>
    <row r="8">
      <c r="B8" s="3" t="inlineStr">
        <is>
          <t>Date</t>
        </is>
      </c>
      <c r="C8" s="4" t="inlineStr">
        <is>
          <t>June 2026</t>
        </is>
      </c>
      <c r="D8" s="5" t="n"/>
      <c r="E8" s="5" t="n"/>
      <c r="F8" s="5" t="n"/>
      <c r="G8" s="5" t="n"/>
      <c r="H8" s="5" t="n"/>
      <c r="I8" s="5" t="n"/>
    </row>
    <row r="9">
      <c r="B9" s="6" t="inlineStr">
        <is>
          <t>Currency</t>
        </is>
      </c>
      <c r="C9" s="7" t="inlineStr">
        <is>
          <t>₹ Indian Rupee  |  Unit: Crore (₹ Cr)</t>
        </is>
      </c>
    </row>
    <row r="10">
      <c r="B10" s="3" t="inlineStr">
        <is>
          <t>Fiscal Year</t>
        </is>
      </c>
      <c r="C10" s="4" t="inlineStr">
        <is>
          <t>April 1 – March 31  (Indian FY)</t>
        </is>
      </c>
      <c r="D10" s="5" t="n"/>
      <c r="E10" s="5" t="n"/>
      <c r="F10" s="5" t="n"/>
      <c r="G10" s="5" t="n"/>
      <c r="H10" s="5" t="n"/>
      <c r="I10" s="5" t="n"/>
    </row>
    <row r="11">
      <c r="B11" s="6" t="inlineStr">
        <is>
          <t>Exchange</t>
        </is>
      </c>
      <c r="C11" s="7" t="inlineStr">
        <is>
          <t>NSE / BSE  |  ISIN: INE424L01029</t>
        </is>
      </c>
    </row>
    <row r="12">
      <c r="B12" s="3" t="inlineStr">
        <is>
          <t>Scope</t>
        </is>
      </c>
      <c r="C12" s="4" t="inlineStr">
        <is>
          <t>FY22A–FY25A (Actual)  +  FY26E–FY30E (Forecast)</t>
        </is>
      </c>
      <c r="D12" s="5" t="n"/>
      <c r="E12" s="5" t="n"/>
      <c r="F12" s="5" t="n"/>
      <c r="G12" s="5" t="n"/>
      <c r="H12" s="5" t="n"/>
      <c r="I12" s="5" t="n"/>
    </row>
    <row r="13">
      <c r="B13" s="6" t="inlineStr">
        <is>
          <t>Model Version</t>
        </is>
      </c>
      <c r="C13" s="7" t="inlineStr">
        <is>
          <t>v2.0  (8-tab structure, WACC merged into DCF)</t>
        </is>
      </c>
    </row>
    <row r="15" ht="6" customHeight="1"/>
    <row r="16" ht="20" customHeight="1">
      <c r="A16" s="8" t="inlineStr">
        <is>
          <t xml:space="preserve">  COMPANY OVERVIEW</t>
        </is>
      </c>
    </row>
    <row r="17">
      <c r="B17" s="9" t="inlineStr">
        <is>
          <t>Dixon Technologies (India) Ltd. is India's largest Electronics Manufacturing Services (EMS) company. Founded in 1993 and listed on NSE &amp; BSE, Dixon manufactures across six verticals: Consumer Electronics (LED TVs, monitors), Home Appliances (washing machines), Lighting Products (LED lamps/luminaires), Mobile &amp; EMS (smartphones under PLI scheme), Security Surveillance (CCTV/DVRs), and Wearables &amp; IT Hardware (laptops, tablets). Dixon is a primary beneficiary of India's Production-Linked Incentive (PLI) schemes and the 'China+1' global supply-chain diversification theme. Key OEM partners include Samsung, Motorola, OnePlus, Xiaomi, Google, and HP. Management has guided for ₹1,00,000 Cr+ revenue by FY27.</t>
        </is>
      </c>
    </row>
    <row r="18"/>
    <row r="19"/>
    <row r="20"/>
    <row r="21"/>
    <row r="22"/>
    <row r="23" ht="6" customHeight="1"/>
    <row r="24" ht="20" customHeight="1">
      <c r="A24" s="8" t="inlineStr">
        <is>
          <t xml:space="preserve">  KEY FINANCIAL HIGHLIGHTS  (₹ Crore)</t>
        </is>
      </c>
    </row>
    <row r="25">
      <c r="B25" s="10" t="inlineStr">
        <is>
          <t>Metric</t>
        </is>
      </c>
      <c r="C25" s="10" t="inlineStr">
        <is>
          <t>FY22A</t>
        </is>
      </c>
      <c r="D25" s="10" t="inlineStr">
        <is>
          <t>FY23A</t>
        </is>
      </c>
      <c r="E25" s="10" t="inlineStr">
        <is>
          <t>FY24A</t>
        </is>
      </c>
      <c r="F25" s="10" t="inlineStr">
        <is>
          <t>FY25A</t>
        </is>
      </c>
    </row>
    <row r="26">
      <c r="B26" s="11" t="inlineStr">
        <is>
          <t>Revenue (₹ Cr)</t>
        </is>
      </c>
      <c r="C26" s="12" t="inlineStr">
        <is>
          <t>10,697</t>
        </is>
      </c>
      <c r="D26" s="12" t="inlineStr">
        <is>
          <t>12,192</t>
        </is>
      </c>
      <c r="E26" s="12" t="inlineStr">
        <is>
          <t>17,691</t>
        </is>
      </c>
      <c r="F26" s="12" t="inlineStr">
        <is>
          <t>38,860</t>
        </is>
      </c>
      <c r="G26" s="5" t="n"/>
    </row>
    <row r="27">
      <c r="B27" s="13" t="inlineStr">
        <is>
          <t>YoY Revenue Growth</t>
        </is>
      </c>
      <c r="C27" s="14" t="inlineStr">
        <is>
          <t>—</t>
        </is>
      </c>
      <c r="D27" s="14" t="inlineStr">
        <is>
          <t>+14%</t>
        </is>
      </c>
      <c r="E27" s="14" t="inlineStr">
        <is>
          <t>+45%</t>
        </is>
      </c>
      <c r="F27" s="14" t="inlineStr">
        <is>
          <t>+120%</t>
        </is>
      </c>
    </row>
    <row r="28">
      <c r="B28" s="11" t="inlineStr">
        <is>
          <t>EBITDA (₹ Cr)</t>
        </is>
      </c>
      <c r="C28" s="12" t="inlineStr">
        <is>
          <t>430</t>
        </is>
      </c>
      <c r="D28" s="12" t="inlineStr">
        <is>
          <t>510</t>
        </is>
      </c>
      <c r="E28" s="12" t="inlineStr">
        <is>
          <t>708</t>
        </is>
      </c>
      <c r="F28" s="12" t="inlineStr">
        <is>
          <t>1,943</t>
        </is>
      </c>
      <c r="G28" s="5" t="n"/>
    </row>
    <row r="29">
      <c r="B29" s="13" t="inlineStr">
        <is>
          <t>EBITDA Margin %</t>
        </is>
      </c>
      <c r="C29" s="14" t="inlineStr">
        <is>
          <t>4.0%</t>
        </is>
      </c>
      <c r="D29" s="14" t="inlineStr">
        <is>
          <t>4.2%</t>
        </is>
      </c>
      <c r="E29" s="14" t="inlineStr">
        <is>
          <t>4.0%</t>
        </is>
      </c>
      <c r="F29" s="14" t="inlineStr">
        <is>
          <t>5.0%</t>
        </is>
      </c>
    </row>
    <row r="30">
      <c r="B30" s="11" t="inlineStr">
        <is>
          <t>PAT (₹ Cr)</t>
        </is>
      </c>
      <c r="C30" s="12" t="inlineStr">
        <is>
          <t>190</t>
        </is>
      </c>
      <c r="D30" s="12" t="inlineStr">
        <is>
          <t>253</t>
        </is>
      </c>
      <c r="E30" s="12" t="inlineStr">
        <is>
          <t>365</t>
        </is>
      </c>
      <c r="F30" s="12" t="inlineStr">
        <is>
          <t>1,215</t>
        </is>
      </c>
      <c r="G30" s="5" t="n"/>
    </row>
    <row r="31">
      <c r="B31" s="13" t="inlineStr">
        <is>
          <t>PAT Margin %</t>
        </is>
      </c>
      <c r="C31" s="14" t="inlineStr">
        <is>
          <t>1.8%</t>
        </is>
      </c>
      <c r="D31" s="14" t="inlineStr">
        <is>
          <t>2.1%</t>
        </is>
      </c>
      <c r="E31" s="14" t="inlineStr">
        <is>
          <t>2.1%</t>
        </is>
      </c>
      <c r="F31" s="14" t="inlineStr">
        <is>
          <t>3.1%</t>
        </is>
      </c>
    </row>
    <row r="32">
      <c r="B32" s="11" t="inlineStr">
        <is>
          <t>EPS (₹)</t>
        </is>
      </c>
      <c r="C32" s="12" t="inlineStr">
        <is>
          <t>31.7</t>
        </is>
      </c>
      <c r="D32" s="12" t="inlineStr">
        <is>
          <t>42.2</t>
        </is>
      </c>
      <c r="E32" s="12" t="inlineStr">
        <is>
          <t>60.9</t>
        </is>
      </c>
      <c r="F32" s="12" t="inlineStr">
        <is>
          <t>202.8</t>
        </is>
      </c>
      <c r="G32" s="5" t="n"/>
    </row>
    <row r="33">
      <c r="B33" s="13" t="inlineStr">
        <is>
          <t>ROE</t>
        </is>
      </c>
      <c r="C33" s="14" t="inlineStr">
        <is>
          <t>17%</t>
        </is>
      </c>
      <c r="D33" s="14" t="inlineStr">
        <is>
          <t>19%</t>
        </is>
      </c>
      <c r="E33" s="14" t="inlineStr">
        <is>
          <t>21%</t>
        </is>
      </c>
      <c r="F33" s="14" t="inlineStr">
        <is>
          <t>42%</t>
        </is>
      </c>
    </row>
    <row r="35" ht="6" customHeight="1"/>
    <row r="36" ht="20" customHeight="1">
      <c r="A36" s="8" t="inlineStr">
        <is>
          <t xml:space="preserve">  WORKBOOK STRUCTURE  (8 Tabs)</t>
        </is>
      </c>
    </row>
    <row r="37">
      <c r="B37" s="15" t="inlineStr">
        <is>
          <t>1. Cover</t>
        </is>
      </c>
      <c r="C37" s="16" t="inlineStr">
        <is>
          <t>This page — project overview, key metrics, navigation guide</t>
        </is>
      </c>
      <c r="D37" s="5" t="n"/>
      <c r="E37" s="5" t="n"/>
      <c r="F37" s="5" t="n"/>
      <c r="G37" s="5" t="n"/>
      <c r="H37" s="5" t="n"/>
    </row>
    <row r="38">
      <c r="B38" s="17" t="inlineStr">
        <is>
          <t>2. ASSUMP</t>
        </is>
      </c>
      <c r="C38" s="18" t="inlineStr">
        <is>
          <t>All model inputs &amp; assumptions — edit ONLY this tab to change forecasts</t>
        </is>
      </c>
    </row>
    <row r="39">
      <c r="B39" s="15" t="inlineStr">
        <is>
          <t>3. IS</t>
        </is>
      </c>
      <c r="C39" s="16" t="inlineStr">
        <is>
          <t>Income Statement — P&amp;L with Ratio Analysis (WiDS Week 1 &amp; 2)</t>
        </is>
      </c>
      <c r="D39" s="5" t="n"/>
      <c r="E39" s="5" t="n"/>
      <c r="F39" s="5" t="n"/>
      <c r="G39" s="5" t="n"/>
      <c r="H39" s="5" t="n"/>
    </row>
    <row r="40">
      <c r="B40" s="17" t="inlineStr">
        <is>
          <t>4. BS</t>
        </is>
      </c>
      <c r="C40" s="18" t="inlineStr">
        <is>
          <t>Balance Sheet — formula-linked to IS &amp; CF</t>
        </is>
      </c>
    </row>
    <row r="41">
      <c r="B41" s="15" t="inlineStr">
        <is>
          <t>5. CF</t>
        </is>
      </c>
      <c r="C41" s="16" t="inlineStr">
        <is>
          <t>Cash Flow Statement — indirect method, formula-linked</t>
        </is>
      </c>
      <c r="D41" s="5" t="n"/>
      <c r="E41" s="5" t="n"/>
      <c r="F41" s="5" t="n"/>
      <c r="G41" s="5" t="n"/>
      <c r="H41" s="5" t="n"/>
    </row>
    <row r="42">
      <c r="B42" s="17" t="inlineStr">
        <is>
          <t>6. DCF</t>
        </is>
      </c>
      <c r="C42" s="18" t="inlineStr">
        <is>
          <t>WACC derivation + FCFF model + EV bridge → Implied Share Price (Weeks 3-4)</t>
        </is>
      </c>
    </row>
    <row r="43">
      <c r="B43" s="15" t="inlineStr">
        <is>
          <t>7. SENSITIVITY</t>
        </is>
      </c>
      <c r="C43" s="16" t="inlineStr">
        <is>
          <t>2-Way sensitivity table: Implied Price vs WACC &amp; Terminal Growth Rate</t>
        </is>
      </c>
      <c r="D43" s="5" t="n"/>
      <c r="E43" s="5" t="n"/>
      <c r="F43" s="5" t="n"/>
      <c r="G43" s="5" t="n"/>
      <c r="H43" s="5" t="n"/>
    </row>
    <row r="44">
      <c r="B44" s="17" t="inlineStr">
        <is>
          <t>8. COMPS</t>
        </is>
      </c>
      <c r="C44" s="18" t="inlineStr">
        <is>
          <t>Peer Comparables — Dixon vs Amber, Kaynes, Syrma (relative valuation)</t>
        </is>
      </c>
    </row>
    <row r="46" ht="6" customHeight="1"/>
    <row r="47" ht="20" customHeight="1">
      <c r="A47" s="8" t="inlineStr">
        <is>
          <t xml:space="preserve">  COLOR CODING CONVENTION</t>
        </is>
      </c>
    </row>
    <row r="48">
      <c r="B48" s="19" t="inlineStr">
        <is>
          <t xml:space="preserve">  ■  Blue text</t>
        </is>
      </c>
      <c r="C48" s="18" t="inlineStr">
        <is>
          <t>Hardcoded inputs — source: Annual Reports / Damodaran / RBI</t>
        </is>
      </c>
    </row>
    <row r="49">
      <c r="B49" s="20" t="inlineStr">
        <is>
          <t xml:space="preserve">  ■  Black text</t>
        </is>
      </c>
      <c r="C49" s="18" t="inlineStr">
        <is>
          <t>Formula cells — calculated automatically, do NOT edit</t>
        </is>
      </c>
    </row>
    <row r="50">
      <c r="B50" s="21" t="inlineStr">
        <is>
          <t xml:space="preserve">  ■  Green text</t>
        </is>
      </c>
      <c r="C50" s="18" t="inlineStr">
        <is>
          <t>Cross-sheet links — pulling values from another tab</t>
        </is>
      </c>
    </row>
    <row r="51">
      <c r="B51" s="22" t="inlineStr">
        <is>
          <t xml:space="preserve">  ■  Yellow fill</t>
        </is>
      </c>
      <c r="C51" s="18" t="inlineStr">
        <is>
          <t>Key assumption cell — verify before presenting</t>
        </is>
      </c>
    </row>
    <row r="53" ht="6" customHeight="1"/>
    <row r="54">
      <c r="B54" s="23" t="inlineStr">
        <is>
          <t>Sources: Dixon Annual Reports FY22–FY25 (BSE/NSE) | Screener.in | Trendlyne | Damodaran ERP (India) | RBI 10-yr G-Sec | Motilal Oswal / ICICI Direct Research</t>
        </is>
      </c>
    </row>
  </sheetData>
  <mergeCells count="8">
    <mergeCell ref="B17:I22"/>
    <mergeCell ref="A24:H24"/>
    <mergeCell ref="A16:H16"/>
    <mergeCell ref="B54:I54"/>
    <mergeCell ref="B2:I3"/>
    <mergeCell ref="A36:H36"/>
    <mergeCell ref="A47:H47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55" customWidth="1" min="3" max="3"/>
  </cols>
  <sheetData>
    <row r="1" ht="20" customHeight="1">
      <c r="A1" s="24" t="inlineStr">
        <is>
          <t xml:space="preserve">  DIXON TECHNOLOGIES — MODEL ASSUMPTIONS  (Edit ONLY blue cells)</t>
        </is>
      </c>
    </row>
    <row r="3" ht="16" customHeight="1">
      <c r="A3" s="25" t="inlineStr">
        <is>
          <t xml:space="preserve">  INCOME STATEMENT DRIVERS</t>
        </is>
      </c>
    </row>
    <row r="4">
      <c r="A4" s="26" t="inlineStr">
        <is>
          <t>Assumption</t>
        </is>
      </c>
      <c r="B4" s="26" t="inlineStr">
        <is>
          <t>Value / Rate</t>
        </is>
      </c>
      <c r="C4" s="26" t="inlineStr">
        <is>
          <t>Notes / Source</t>
        </is>
      </c>
    </row>
    <row r="5">
      <c r="A5" s="7" t="inlineStr">
        <is>
          <t>Revenue Growth — FY26E</t>
        </is>
      </c>
      <c r="B5" s="27" t="n">
        <v>0.3</v>
      </c>
      <c r="C5" s="23" t="inlineStr">
        <is>
          <t>30% YoY; Dixon guided ₹50,000Cr+; PLI-driven mobile ramp-up</t>
        </is>
      </c>
    </row>
    <row r="6">
      <c r="A6" s="4" t="inlineStr">
        <is>
          <t>Revenue Growth — FY27E</t>
        </is>
      </c>
      <c r="B6" s="28" t="n">
        <v>0.25</v>
      </c>
      <c r="C6" s="29" t="inlineStr">
        <is>
          <t>25% YoY; continued EMS expansion + new category wins</t>
        </is>
      </c>
    </row>
    <row r="7">
      <c r="A7" s="7" t="inlineStr">
        <is>
          <t>Revenue Growth — FY28E</t>
        </is>
      </c>
      <c r="B7" s="30" t="n">
        <v>0.18</v>
      </c>
      <c r="C7" s="23" t="inlineStr">
        <is>
          <t>18% YoY; growth normalisation, base effect kicking in</t>
        </is>
      </c>
    </row>
    <row r="8">
      <c r="A8" s="4" t="inlineStr">
        <is>
          <t>Revenue Growth — FY29E</t>
        </is>
      </c>
      <c r="B8" s="28" t="n">
        <v>0.15</v>
      </c>
      <c r="C8" s="29" t="inlineStr">
        <is>
          <t>15% YoY; stable EMS market share gains</t>
        </is>
      </c>
    </row>
    <row r="9">
      <c r="A9" s="7" t="inlineStr">
        <is>
          <t>Revenue Growth — FY30E</t>
        </is>
      </c>
      <c r="B9" s="30" t="n">
        <v>0.12</v>
      </c>
      <c r="C9" s="23" t="inlineStr">
        <is>
          <t>12% YoY; mature growth phase, diversified revenue base</t>
        </is>
      </c>
    </row>
    <row r="10">
      <c r="A10" s="4" t="inlineStr">
        <is>
          <t>EBITDA Margin % (all yrs)</t>
        </is>
      </c>
      <c r="B10" s="28" t="n">
        <v>0.052</v>
      </c>
      <c r="C10" s="29" t="inlineStr">
        <is>
          <t>5.2%; slight margin expansion from operating leverage &amp; PLI income</t>
        </is>
      </c>
    </row>
    <row r="11">
      <c r="A11" s="7" t="inlineStr">
        <is>
          <t>D&amp;A as % of Revenue</t>
        </is>
      </c>
      <c r="B11" s="30" t="n">
        <v>0.008</v>
      </c>
      <c r="C11" s="23" t="inlineStr">
        <is>
          <t>0.8%; low asset-light model; capex mostly leased equipment</t>
        </is>
      </c>
    </row>
    <row r="12">
      <c r="A12" s="4" t="inlineStr">
        <is>
          <t>Effective Tax Rate</t>
        </is>
      </c>
      <c r="B12" s="28" t="n">
        <v>0.25</v>
      </c>
      <c r="C12" s="29" t="inlineStr">
        <is>
          <t>25%; new tax regime post FY22; Source: Dixon Annual Reports</t>
        </is>
      </c>
    </row>
    <row r="13">
      <c r="A13" s="7" t="inlineStr">
        <is>
          <t>Pre-tax Cost of Debt (Kd)</t>
        </is>
      </c>
      <c r="B13" s="30" t="n">
        <v>0.08500000000000001</v>
      </c>
      <c r="C13" s="23" t="inlineStr">
        <is>
          <t>8.5%; ~repo rate + 200bps; RBI repo at 6.5% as of June 2026</t>
        </is>
      </c>
    </row>
    <row r="15" ht="16" customHeight="1">
      <c r="A15" s="25" t="inlineStr">
        <is>
          <t xml:space="preserve">  BALANCE SHEET &amp; CASH FLOW DRIVERS</t>
        </is>
      </c>
    </row>
    <row r="16">
      <c r="A16" s="26" t="inlineStr">
        <is>
          <t>Assumption</t>
        </is>
      </c>
      <c r="B16" s="26" t="inlineStr">
        <is>
          <t>Value / Rate</t>
        </is>
      </c>
      <c r="C16" s="26" t="inlineStr">
        <is>
          <t>Notes / Source</t>
        </is>
      </c>
    </row>
    <row r="17">
      <c r="A17" s="4" t="inlineStr">
        <is>
          <t>Capex as % of Revenue</t>
        </is>
      </c>
      <c r="B17" s="28" t="n">
        <v>0.02</v>
      </c>
      <c r="C17" s="29" t="inlineStr">
        <is>
          <t>2.0%; asset-light EMS; light capex relative to scale</t>
        </is>
      </c>
    </row>
    <row r="18">
      <c r="A18" s="7" t="inlineStr">
        <is>
          <t>NWC as % of Revenue</t>
        </is>
      </c>
      <c r="B18" s="30" t="n">
        <v>0.045</v>
      </c>
      <c r="C18" s="23" t="inlineStr">
        <is>
          <t>4.5%; Dixon historically runs lean working capital cycles</t>
        </is>
      </c>
    </row>
    <row r="19">
      <c r="A19" s="4" t="inlineStr">
        <is>
          <t>Shares Outstanding (lakhs)</t>
        </is>
      </c>
      <c r="B19" s="31" t="n">
        <v>600</v>
      </c>
      <c r="C19" s="29" t="inlineStr">
        <is>
          <t>6.0 crore shares = 600 lakh shares; Source: NSE/BSE filings</t>
        </is>
      </c>
    </row>
    <row r="21" ht="16" customHeight="1">
      <c r="A21" s="25" t="inlineStr">
        <is>
          <t xml:space="preserve">  WACC / CAPM INPUTS  (Week 3 — WiDS)</t>
        </is>
      </c>
    </row>
    <row r="22">
      <c r="A22" s="26" t="inlineStr">
        <is>
          <t>Parameter</t>
        </is>
      </c>
      <c r="B22" s="26" t="inlineStr">
        <is>
          <t>Value</t>
        </is>
      </c>
      <c r="C22" s="26" t="inlineStr">
        <is>
          <t>Notes / Source</t>
        </is>
      </c>
    </row>
    <row r="24">
      <c r="A24" s="4" t="inlineStr">
        <is>
          <t>Risk-Free Rate (Rf)</t>
        </is>
      </c>
      <c r="B24" s="28" t="n">
        <v>0.07000000000000001</v>
      </c>
      <c r="C24" s="29" t="inlineStr">
        <is>
          <t>7.0%; India 10-yr G-Sec yield (RBI, June 2026)</t>
        </is>
      </c>
    </row>
    <row r="25">
      <c r="A25" s="7" t="inlineStr">
        <is>
          <t>Equity Risk Premium (ERP)</t>
        </is>
      </c>
      <c r="B25" s="30" t="n">
        <v>0.06</v>
      </c>
      <c r="C25" s="23" t="inlineStr">
        <is>
          <t>6.0%; Damodaran India ERP (Jan 2026 update)</t>
        </is>
      </c>
    </row>
    <row r="26">
      <c r="A26" s="4" t="inlineStr">
        <is>
          <t>Beta (β) — Levered</t>
        </is>
      </c>
      <c r="B26" s="32" t="n">
        <v>1.4</v>
      </c>
      <c r="C26" s="29" t="inlineStr">
        <is>
          <t>1.40; regressed vs. Nifty 50 (2-yr weekly); EMS sector cyclical</t>
        </is>
      </c>
    </row>
    <row r="27">
      <c r="A27" s="7" t="inlineStr">
        <is>
          <t>Cost of Equity Ke = Rf+β×ERP</t>
        </is>
      </c>
      <c r="B27" s="33">
        <f>B24+B26*B25</f>
        <v/>
      </c>
      <c r="C27" s="23" t="inlineStr">
        <is>
          <t>CAPM: 7.0% + 1.40×6.0% = 15.4%</t>
        </is>
      </c>
    </row>
    <row r="28">
      <c r="A28" s="4" t="inlineStr">
        <is>
          <t>Debt Weight D/(D+E)</t>
        </is>
      </c>
      <c r="B28" s="28" t="n">
        <v>0.2</v>
      </c>
      <c r="C28" s="29" t="inlineStr">
        <is>
          <t>20%; conservative; Dixon is equity-heavy; Source: BS FY25</t>
        </is>
      </c>
    </row>
    <row r="29">
      <c r="A29" s="7" t="inlineStr">
        <is>
          <t>Pre-tax Kd (gross)</t>
        </is>
      </c>
      <c r="B29" s="33">
        <f>B13</f>
        <v/>
      </c>
      <c r="C29" s="23" t="inlineStr">
        <is>
          <t>Linked from IS Drivers above</t>
        </is>
      </c>
    </row>
    <row r="30">
      <c r="A30" s="4" t="inlineStr">
        <is>
          <t>After-tax Kd = Kd×(1-Tax)</t>
        </is>
      </c>
      <c r="B30" s="34">
        <f>B29*(1-B12)</f>
        <v/>
      </c>
      <c r="C30" s="29" t="inlineStr">
        <is>
          <t>8.5%×(1-25%) = 6.375%</t>
        </is>
      </c>
    </row>
    <row r="31">
      <c r="A31" s="7" t="inlineStr">
        <is>
          <t>WACC = Ke×(1-D%) + Kd×D%</t>
        </is>
      </c>
      <c r="B31" s="33">
        <f>B27*(1-B28)+B30*B28</f>
        <v/>
      </c>
      <c r="C31" s="23" t="inlineStr">
        <is>
          <t>≈ 13.6%; weighted avg cost of capital</t>
        </is>
      </c>
    </row>
    <row r="33" ht="16" customHeight="1">
      <c r="A33" s="25" t="inlineStr">
        <is>
          <t xml:space="preserve">  TERMINAL VALUE INPUT  (Week 3 — WiDS)</t>
        </is>
      </c>
    </row>
    <row r="34">
      <c r="A34" s="26" t="inlineStr">
        <is>
          <t>Parameter</t>
        </is>
      </c>
      <c r="B34" s="26" t="inlineStr">
        <is>
          <t>Value</t>
        </is>
      </c>
      <c r="C34" s="26" t="inlineStr">
        <is>
          <t>Notes / Source</t>
        </is>
      </c>
    </row>
    <row r="35">
      <c r="A35" s="7" t="inlineStr">
        <is>
          <t>Terminal Growth Rate (g)</t>
        </is>
      </c>
      <c r="B35" s="27" t="n">
        <v>0.055</v>
      </c>
      <c r="C35" s="23" t="inlineStr">
        <is>
          <t>5.5%; long-run India nominal GDP growth proxy; conservative vs EMS sector</t>
        </is>
      </c>
    </row>
    <row r="37" ht="16" customHeight="1">
      <c r="A37" s="25" t="inlineStr">
        <is>
          <t xml:space="preserve">  DATA SOURCES &amp; LINKS</t>
        </is>
      </c>
    </row>
    <row r="38">
      <c r="A38" s="35" t="inlineStr">
        <is>
          <t>Dixon AR FY25 (BSE):  https://www.bseindia.com/bseplus/AnnualReport/541988/10124541988.pdf</t>
        </is>
      </c>
    </row>
    <row r="39">
      <c r="A39" s="35" t="inlineStr">
        <is>
          <t>Dixon AR FY24 (BSE):  https://www.bseindia.com/bseplus/AnnualReport/541988/10124541988.pdf</t>
        </is>
      </c>
    </row>
    <row r="40">
      <c r="A40" s="35" t="inlineStr">
        <is>
          <t>Screener.in (Consolidated P&amp;L/BS/CF):  https://www.screener.in/company/DIXON/consolidated/</t>
        </is>
      </c>
    </row>
    <row r="41">
      <c r="A41" s="35" t="inlineStr">
        <is>
          <t>Trendlyne (financials + ratios):  https://trendlyne.com/equity/1624/DIXON/</t>
        </is>
      </c>
    </row>
    <row r="42">
      <c r="A42" s="35" t="inlineStr">
        <is>
          <t>Damodaran ERP India:  https://pages.stern.nyu.edu/~adamodar/New_Home_Page/datafile/ctryprem.html</t>
        </is>
      </c>
    </row>
    <row r="43">
      <c r="A43" s="35" t="inlineStr">
        <is>
          <t>RBI G-Sec yields:  https://www.rbi.org.in/Scripts/BS_NSDPDisplayGenericDetails.aspx?Id=219</t>
        </is>
      </c>
    </row>
    <row r="44">
      <c r="A44" s="35" t="inlineStr">
        <is>
          <t>NSE India — DIXON:  https://www.nseindia.com/get-quotes/equity?symbol=DIXON</t>
        </is>
      </c>
    </row>
  </sheetData>
  <mergeCells count="13">
    <mergeCell ref="A42:C42"/>
    <mergeCell ref="A41:C41"/>
    <mergeCell ref="A33:C33"/>
    <mergeCell ref="A44:C44"/>
    <mergeCell ref="A1:C1"/>
    <mergeCell ref="A37:C37"/>
    <mergeCell ref="A40:C40"/>
    <mergeCell ref="A3:C3"/>
    <mergeCell ref="A21:C21"/>
    <mergeCell ref="A39:C39"/>
    <mergeCell ref="A15:C15"/>
    <mergeCell ref="A43:C43"/>
    <mergeCell ref="A38:C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workbookViewId="0">
      <pane xSplit="1" ySplit="4" topLeftCell="B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0" customHeight="1">
      <c r="A1" s="24" t="inlineStr">
        <is>
          <t xml:space="preserve">  DIXON TECHNOLOGIES — INCOME STATEMENT  (₹ Crore)</t>
        </is>
      </c>
    </row>
    <row r="2">
      <c r="A2" s="10" t="inlineStr"/>
      <c r="B2" s="10" t="inlineStr">
        <is>
          <t>FY22A</t>
        </is>
      </c>
      <c r="C2" s="10" t="inlineStr">
        <is>
          <t>FY23A</t>
        </is>
      </c>
      <c r="D2" s="10" t="inlineStr">
        <is>
          <t>FY24A</t>
        </is>
      </c>
      <c r="E2" s="10" t="inlineStr">
        <is>
          <t>FY25A</t>
        </is>
      </c>
      <c r="F2" s="10" t="inlineStr">
        <is>
          <t>FY26E</t>
        </is>
      </c>
      <c r="G2" s="10" t="inlineStr">
        <is>
          <t>FY27E</t>
        </is>
      </c>
      <c r="H2" s="10" t="inlineStr">
        <is>
          <t>FY28E</t>
        </is>
      </c>
      <c r="I2" s="10" t="inlineStr">
        <is>
          <t>FY29E</t>
        </is>
      </c>
      <c r="J2" s="10" t="inlineStr">
        <is>
          <t>FY30E</t>
        </is>
      </c>
    </row>
    <row r="3">
      <c r="A3" s="10" t="inlineStr"/>
      <c r="B3" s="10" t="inlineStr">
        <is>
          <t>Actual</t>
        </is>
      </c>
      <c r="C3" s="10" t="inlineStr">
        <is>
          <t>Actual</t>
        </is>
      </c>
      <c r="D3" s="10" t="inlineStr">
        <is>
          <t>Actual</t>
        </is>
      </c>
      <c r="E3" s="10" t="inlineStr">
        <is>
          <t>Actual</t>
        </is>
      </c>
      <c r="F3" s="10" t="inlineStr">
        <is>
          <t>Forecast</t>
        </is>
      </c>
      <c r="G3" s="10" t="inlineStr">
        <is>
          <t>Forecast</t>
        </is>
      </c>
      <c r="H3" s="10" t="inlineStr">
        <is>
          <t>Forecast</t>
        </is>
      </c>
      <c r="I3" s="10" t="inlineStr">
        <is>
          <t>Forecast</t>
        </is>
      </c>
      <c r="J3" s="10" t="inlineStr">
        <is>
          <t>Forecast</t>
        </is>
      </c>
    </row>
    <row r="4" ht="16" customHeight="1">
      <c r="A4" s="25" t="inlineStr">
        <is>
          <t xml:space="preserve">  REVENUE</t>
        </is>
      </c>
    </row>
    <row r="6">
      <c r="A6" s="36" t="inlineStr">
        <is>
          <t>Net Revenue / Net Sales</t>
        </is>
      </c>
      <c r="B6" s="31" t="n">
        <v>10697</v>
      </c>
      <c r="C6" s="31" t="n">
        <v>12192</v>
      </c>
      <c r="D6" s="31" t="n">
        <v>17691</v>
      </c>
      <c r="E6" s="31" t="n">
        <v>38860</v>
      </c>
      <c r="F6" s="37">
        <f>E6*(1+ASSUMP!B5)</f>
        <v/>
      </c>
      <c r="G6" s="37">
        <f>F6*(1+ASSUMP!B6)</f>
        <v/>
      </c>
      <c r="H6" s="37">
        <f>G6*(1+ASSUMP!B7)</f>
        <v/>
      </c>
      <c r="I6" s="37">
        <f>H6*(1+ASSUMP!B8)</f>
        <v/>
      </c>
      <c r="J6" s="37">
        <f>I6*(1+ASSUMP!B9)</f>
        <v/>
      </c>
    </row>
    <row r="7">
      <c r="A7" s="38" t="inlineStr">
        <is>
          <t xml:space="preserve">  YoY Revenue Growth %</t>
        </is>
      </c>
      <c r="C7" s="33">
        <f>C6/B6-1</f>
        <v/>
      </c>
      <c r="D7" s="33">
        <f>D6/C6-1</f>
        <v/>
      </c>
      <c r="E7" s="33">
        <f>E6/D6-1</f>
        <v/>
      </c>
      <c r="F7" s="33">
        <f>F6/E6-1</f>
        <v/>
      </c>
      <c r="G7" s="33">
        <f>G6/F6-1</f>
        <v/>
      </c>
      <c r="H7" s="33">
        <f>H6/G6-1</f>
        <v/>
      </c>
      <c r="I7" s="33">
        <f>I6/H6-1</f>
        <v/>
      </c>
      <c r="J7" s="33">
        <f>J6/I6-1</f>
        <v/>
      </c>
    </row>
    <row r="8" ht="16" customHeight="1">
      <c r="A8" s="25" t="inlineStr">
        <is>
          <t xml:space="preserve">  COST STRUCTURE</t>
        </is>
      </c>
    </row>
    <row r="10">
      <c r="A10" s="38" t="inlineStr">
        <is>
          <t>Raw Materials / COGS</t>
        </is>
      </c>
      <c r="B10" s="39" t="n">
        <v>9330</v>
      </c>
      <c r="C10" s="39" t="n">
        <v>10630</v>
      </c>
      <c r="D10" s="39" t="n">
        <v>15440</v>
      </c>
      <c r="E10" s="39" t="n">
        <v>34000</v>
      </c>
      <c r="F10" s="40">
        <f>F6-(ASSUMP!B10*F6)-(F6*0.025)-(F6*0.053)</f>
        <v/>
      </c>
      <c r="G10" s="40">
        <f>G6-(ASSUMP!B10*G6)-(G6*0.025)-(G6*0.053)</f>
        <v/>
      </c>
      <c r="H10" s="40">
        <f>H6-(ASSUMP!B10*H6)-(H6*0.025)-(H6*0.053)</f>
        <v/>
      </c>
      <c r="I10" s="40">
        <f>I6-(ASSUMP!B10*I6)-(I6*0.025)-(I6*0.053)</f>
        <v/>
      </c>
      <c r="J10" s="40">
        <f>J6-(ASSUMP!B10*J6)-(J6*0.025)-(J6*0.053)</f>
        <v/>
      </c>
    </row>
    <row r="11">
      <c r="A11" s="38" t="inlineStr">
        <is>
          <t>Employee Expenses</t>
        </is>
      </c>
      <c r="B11" s="39" t="n">
        <v>307</v>
      </c>
      <c r="C11" s="39" t="n">
        <v>360</v>
      </c>
      <c r="D11" s="39" t="n">
        <v>490</v>
      </c>
      <c r="E11" s="39" t="n">
        <v>950</v>
      </c>
      <c r="F11" s="40">
        <f>F6*0.025</f>
        <v/>
      </c>
      <c r="G11" s="40">
        <f>G6*0.025</f>
        <v/>
      </c>
      <c r="H11" s="40">
        <f>H6*0.025</f>
        <v/>
      </c>
      <c r="I11" s="40">
        <f>I6*0.025</f>
        <v/>
      </c>
      <c r="J11" s="40">
        <f>J6*0.025</f>
        <v/>
      </c>
    </row>
    <row r="12">
      <c r="A12" s="38" t="inlineStr">
        <is>
          <t>Other Operating Expenses</t>
        </is>
      </c>
      <c r="B12" s="39" t="n">
        <v>630</v>
      </c>
      <c r="C12" s="39" t="n">
        <v>692</v>
      </c>
      <c r="D12" s="39" t="n">
        <v>1053</v>
      </c>
      <c r="E12" s="39" t="n">
        <v>1967</v>
      </c>
      <c r="F12" s="40">
        <f>F6*0.053</f>
        <v/>
      </c>
      <c r="G12" s="40">
        <f>G6*0.053</f>
        <v/>
      </c>
      <c r="H12" s="40">
        <f>H6*0.053</f>
        <v/>
      </c>
      <c r="I12" s="40">
        <f>I6*0.053</f>
        <v/>
      </c>
      <c r="J12" s="40">
        <f>J6*0.053</f>
        <v/>
      </c>
    </row>
    <row r="13">
      <c r="A13" s="41" t="inlineStr">
        <is>
          <t>EBITDA</t>
        </is>
      </c>
      <c r="B13" s="42">
        <f>B6-B10-B11-B12</f>
        <v/>
      </c>
      <c r="C13" s="42">
        <f>C6-C10-C11-C12</f>
        <v/>
      </c>
      <c r="D13" s="42">
        <f>D6-D10-D11-D12</f>
        <v/>
      </c>
      <c r="E13" s="42">
        <f>E6-E10-E11-E12</f>
        <v/>
      </c>
      <c r="F13" s="42">
        <f>F6-F10-F11-F12</f>
        <v/>
      </c>
      <c r="G13" s="42">
        <f>G6-G10-G11-G12</f>
        <v/>
      </c>
      <c r="H13" s="42">
        <f>H6-H10-H11-H12</f>
        <v/>
      </c>
      <c r="I13" s="42">
        <f>I6-I10-I11-I12</f>
        <v/>
      </c>
      <c r="J13" s="42">
        <f>J6-J10-J11-J12</f>
        <v/>
      </c>
    </row>
    <row r="14">
      <c r="A14" s="43" t="inlineStr">
        <is>
          <t xml:space="preserve">  EBITDA Margin %</t>
        </is>
      </c>
      <c r="B14" s="34">
        <f>B13/B6</f>
        <v/>
      </c>
      <c r="C14" s="34">
        <f>C13/C6</f>
        <v/>
      </c>
      <c r="D14" s="34">
        <f>D13/D6</f>
        <v/>
      </c>
      <c r="E14" s="34">
        <f>E13/E6</f>
        <v/>
      </c>
      <c r="F14" s="34">
        <f>F13/F6</f>
        <v/>
      </c>
      <c r="G14" s="34">
        <f>G13/G6</f>
        <v/>
      </c>
      <c r="H14" s="34">
        <f>H13/H6</f>
        <v/>
      </c>
      <c r="I14" s="34">
        <f>I13/I6</f>
        <v/>
      </c>
      <c r="J14" s="34">
        <f>J13/J6</f>
        <v/>
      </c>
    </row>
    <row r="15" ht="16" customHeight="1">
      <c r="A15" s="25" t="inlineStr">
        <is>
          <t xml:space="preserve">  BELOW EBITDA</t>
        </is>
      </c>
    </row>
    <row r="17">
      <c r="A17" s="38" t="inlineStr">
        <is>
          <t>Depreciation &amp; Amortisation (D&amp;A)</t>
        </is>
      </c>
      <c r="B17" s="39" t="n">
        <v>115</v>
      </c>
      <c r="C17" s="39" t="n">
        <v>140</v>
      </c>
      <c r="D17" s="39" t="n">
        <v>185</v>
      </c>
      <c r="E17" s="39" t="n">
        <v>280</v>
      </c>
      <c r="F17" s="40">
        <f>F6*ASSUMP!B11</f>
        <v/>
      </c>
      <c r="G17" s="40">
        <f>G6*ASSUMP!B11</f>
        <v/>
      </c>
      <c r="H17" s="40">
        <f>H6*ASSUMP!B11</f>
        <v/>
      </c>
      <c r="I17" s="40">
        <f>I6*ASSUMP!B11</f>
        <v/>
      </c>
      <c r="J17" s="40">
        <f>J6*ASSUMP!B11</f>
        <v/>
      </c>
    </row>
    <row r="18">
      <c r="A18" s="44" t="inlineStr">
        <is>
          <t>EBIT  (Operating Profit)</t>
        </is>
      </c>
      <c r="B18" s="42">
        <f>B13-B17</f>
        <v/>
      </c>
      <c r="C18" s="42">
        <f>C13-C17</f>
        <v/>
      </c>
      <c r="D18" s="42">
        <f>D13-D17</f>
        <v/>
      </c>
      <c r="E18" s="42">
        <f>E13-E17</f>
        <v/>
      </c>
      <c r="F18" s="42">
        <f>F13-F17</f>
        <v/>
      </c>
      <c r="G18" s="42">
        <f>G13-G17</f>
        <v/>
      </c>
      <c r="H18" s="42">
        <f>H13-H17</f>
        <v/>
      </c>
      <c r="I18" s="42">
        <f>I13-I17</f>
        <v/>
      </c>
      <c r="J18" s="42">
        <f>J13-J17</f>
        <v/>
      </c>
    </row>
    <row r="19">
      <c r="A19" s="43" t="inlineStr">
        <is>
          <t xml:space="preserve">  EBIT Margin %</t>
        </is>
      </c>
      <c r="B19" s="34">
        <f>B18/B6</f>
        <v/>
      </c>
      <c r="C19" s="34">
        <f>C18/C6</f>
        <v/>
      </c>
      <c r="D19" s="34">
        <f>D18/D6</f>
        <v/>
      </c>
      <c r="E19" s="34">
        <f>E18/E6</f>
        <v/>
      </c>
      <c r="F19" s="34">
        <f>F18/F6</f>
        <v/>
      </c>
      <c r="G19" s="34">
        <f>G18/G6</f>
        <v/>
      </c>
      <c r="H19" s="34">
        <f>H18/H6</f>
        <v/>
      </c>
      <c r="I19" s="34">
        <f>I18/I6</f>
        <v/>
      </c>
      <c r="J19" s="34">
        <f>J18/J6</f>
        <v/>
      </c>
    </row>
    <row r="22">
      <c r="A22" s="38" t="inlineStr">
        <is>
          <t>Interest Expense</t>
        </is>
      </c>
      <c r="B22" s="39" t="n">
        <v>35</v>
      </c>
      <c r="C22" s="39" t="n">
        <v>45</v>
      </c>
      <c r="D22" s="39" t="n">
        <v>85</v>
      </c>
      <c r="E22" s="39" t="n">
        <v>120</v>
      </c>
      <c r="F22" s="45">
        <f>ROUND((BS!E21+BS!E26)*ASSUMP!B13,0)</f>
        <v/>
      </c>
      <c r="G22" s="45">
        <f>ROUND((BS!F21+BS!F26)*ASSUMP!B13,0)</f>
        <v/>
      </c>
      <c r="H22" s="45">
        <f>ROUND((BS!G21+BS!G26)*ASSUMP!B13,0)</f>
        <v/>
      </c>
      <c r="I22" s="45">
        <f>ROUND((BS!H21+BS!H26)*ASSUMP!B13,0)</f>
        <v/>
      </c>
      <c r="J22" s="45">
        <f>ROUND((BS!I21+BS!I26)*ASSUMP!B13,0)</f>
        <v/>
      </c>
    </row>
    <row r="23">
      <c r="A23" s="44" t="inlineStr">
        <is>
          <t>Profit Before Tax (PBT)</t>
        </is>
      </c>
      <c r="B23" s="42">
        <f>B18-B22</f>
        <v/>
      </c>
      <c r="C23" s="42">
        <f>C18-C22</f>
        <v/>
      </c>
      <c r="D23" s="42">
        <f>D18-D22</f>
        <v/>
      </c>
      <c r="E23" s="42">
        <f>E18-E22</f>
        <v/>
      </c>
      <c r="F23" s="42">
        <f>F18-F22</f>
        <v/>
      </c>
      <c r="G23" s="42">
        <f>G18-G22</f>
        <v/>
      </c>
      <c r="H23" s="42">
        <f>H18-H22</f>
        <v/>
      </c>
      <c r="I23" s="42">
        <f>I18-I22</f>
        <v/>
      </c>
      <c r="J23" s="42">
        <f>J18-J22</f>
        <v/>
      </c>
    </row>
    <row r="24">
      <c r="A24" s="38" t="inlineStr">
        <is>
          <t>Tax Expense</t>
        </is>
      </c>
      <c r="B24" s="39" t="n">
        <v>68</v>
      </c>
      <c r="C24" s="39" t="n">
        <v>85</v>
      </c>
      <c r="D24" s="39" t="n">
        <v>108</v>
      </c>
      <c r="E24" s="39" t="n">
        <v>400</v>
      </c>
      <c r="F24" s="40">
        <f>F23*ASSUMP!B12</f>
        <v/>
      </c>
      <c r="G24" s="40">
        <f>G23*ASSUMP!B12</f>
        <v/>
      </c>
      <c r="H24" s="40">
        <f>H23*ASSUMP!B12</f>
        <v/>
      </c>
      <c r="I24" s="40">
        <f>I23*ASSUMP!B12</f>
        <v/>
      </c>
      <c r="J24" s="40">
        <f>J23*ASSUMP!B12</f>
        <v/>
      </c>
    </row>
    <row r="25">
      <c r="A25" s="43" t="inlineStr">
        <is>
          <t xml:space="preserve">  Effective Tax Rate %</t>
        </is>
      </c>
      <c r="B25" s="34">
        <f>B24/B23</f>
        <v/>
      </c>
      <c r="C25" s="34">
        <f>C24/C23</f>
        <v/>
      </c>
      <c r="D25" s="34">
        <f>D24/D23</f>
        <v/>
      </c>
      <c r="E25" s="34">
        <f>E24/E23</f>
        <v/>
      </c>
      <c r="F25" s="34">
        <f>F24/F23</f>
        <v/>
      </c>
      <c r="G25" s="34">
        <f>G24/G23</f>
        <v/>
      </c>
      <c r="H25" s="34">
        <f>H24/H23</f>
        <v/>
      </c>
      <c r="I25" s="34">
        <f>I24/I23</f>
        <v/>
      </c>
      <c r="J25" s="34">
        <f>J24/J23</f>
        <v/>
      </c>
    </row>
    <row r="26">
      <c r="A26" s="38" t="inlineStr">
        <is>
          <t>Minority Interest (deduction)</t>
        </is>
      </c>
      <c r="B26" s="39" t="n">
        <v>19</v>
      </c>
      <c r="C26" s="39" t="n">
        <v>0</v>
      </c>
      <c r="D26" s="39" t="n">
        <v>-37</v>
      </c>
      <c r="E26" s="39" t="n">
        <v>-61</v>
      </c>
      <c r="F26" s="40">
        <f>-ROUND(F6*0.001,0)</f>
        <v/>
      </c>
      <c r="G26" s="40">
        <f>-ROUND(G6*0.001,0)</f>
        <v/>
      </c>
      <c r="H26" s="40">
        <f>-ROUND(H6*0.001,0)</f>
        <v/>
      </c>
      <c r="I26" s="40">
        <f>-ROUND(I6*0.001,0)</f>
        <v/>
      </c>
      <c r="J26" s="40">
        <f>-ROUND(J6*0.001,0)</f>
        <v/>
      </c>
    </row>
    <row r="27">
      <c r="A27" s="44" t="inlineStr">
        <is>
          <t>PAT  (Profit After Tax)</t>
        </is>
      </c>
      <c r="B27" s="42">
        <f>B23-B24-B26</f>
        <v/>
      </c>
      <c r="C27" s="42">
        <f>C23-C24-C26</f>
        <v/>
      </c>
      <c r="D27" s="42">
        <f>D23-D24-D26</f>
        <v/>
      </c>
      <c r="E27" s="42">
        <f>E23-E24-E26</f>
        <v/>
      </c>
      <c r="F27" s="42">
        <f>F23-F24-F26</f>
        <v/>
      </c>
      <c r="G27" s="42">
        <f>G23-G24-G26</f>
        <v/>
      </c>
      <c r="H27" s="42">
        <f>H23-H24-H26</f>
        <v/>
      </c>
      <c r="I27" s="42">
        <f>I23-I24-I26</f>
        <v/>
      </c>
      <c r="J27" s="42">
        <f>J23-J24-J26</f>
        <v/>
      </c>
    </row>
    <row r="28">
      <c r="A28" s="43" t="inlineStr">
        <is>
          <t xml:space="preserve">  PAT Margin %</t>
        </is>
      </c>
      <c r="B28" s="34">
        <f>B27/B6</f>
        <v/>
      </c>
      <c r="C28" s="34">
        <f>C27/C6</f>
        <v/>
      </c>
      <c r="D28" s="34">
        <f>D27/D6</f>
        <v/>
      </c>
      <c r="E28" s="34">
        <f>E27/E6</f>
        <v/>
      </c>
      <c r="F28" s="34">
        <f>F27/F6</f>
        <v/>
      </c>
      <c r="G28" s="34">
        <f>G27/G6</f>
        <v/>
      </c>
      <c r="H28" s="34">
        <f>H27/H6</f>
        <v/>
      </c>
      <c r="I28" s="34">
        <f>I27/I6</f>
        <v/>
      </c>
      <c r="J28" s="34">
        <f>J27/J6</f>
        <v/>
      </c>
    </row>
    <row r="29">
      <c r="A29" s="38" t="inlineStr">
        <is>
          <t xml:space="preserve">  EPS (₹ per share)</t>
        </is>
      </c>
      <c r="B29" s="46">
        <f>B27*100/ASSUMP!B19</f>
        <v/>
      </c>
      <c r="C29" s="46">
        <f>C27*100/ASSUMP!B19</f>
        <v/>
      </c>
      <c r="D29" s="46">
        <f>D27*100/ASSUMP!B19</f>
        <v/>
      </c>
      <c r="E29" s="46">
        <f>E27*100/ASSUMP!B19</f>
        <v/>
      </c>
      <c r="F29" s="46">
        <f>F27*100/ASSUMP!B19</f>
        <v/>
      </c>
      <c r="G29" s="46">
        <f>G27*100/ASSUMP!B19</f>
        <v/>
      </c>
      <c r="H29" s="46">
        <f>H27*100/ASSUMP!B19</f>
        <v/>
      </c>
      <c r="I29" s="46">
        <f>I27*100/ASSUMP!B19</f>
        <v/>
      </c>
      <c r="J29" s="46">
        <f>J27*100/ASSUMP!B19</f>
        <v/>
      </c>
    </row>
    <row r="31" ht="8" customHeight="1"/>
    <row r="32" ht="16" customHeight="1">
      <c r="A32" s="47" t="inlineStr">
        <is>
          <t xml:space="preserve">  RATIO ANALYSIS  ——  WiDS Week 1</t>
        </is>
      </c>
    </row>
    <row r="33" ht="16" customHeight="1">
      <c r="A33" s="25" t="inlineStr">
        <is>
          <t xml:space="preserve">  PROFITABILITY RATIOS</t>
        </is>
      </c>
    </row>
    <row r="34">
      <c r="A34" s="43" t="inlineStr">
        <is>
          <t>Gross Margin  (Revenue − COGS) / Revenue</t>
        </is>
      </c>
      <c r="B34" s="34">
        <f>(B6-B10)/B6</f>
        <v/>
      </c>
      <c r="C34" s="34">
        <f>(C6-C10)/C6</f>
        <v/>
      </c>
      <c r="D34" s="34">
        <f>(D6-D10)/D6</f>
        <v/>
      </c>
      <c r="E34" s="34">
        <f>(E6-E10)/E6</f>
        <v/>
      </c>
      <c r="F34" s="34">
        <f>(F6-F10)/F6</f>
        <v/>
      </c>
      <c r="G34" s="34">
        <f>(G6-G10)/G6</f>
        <v/>
      </c>
      <c r="H34" s="34">
        <f>(H6-H10)/H6</f>
        <v/>
      </c>
      <c r="I34" s="34">
        <f>(I6-I10)/I6</f>
        <v/>
      </c>
      <c r="J34" s="34">
        <f>(J6-J10)/J6</f>
        <v/>
      </c>
    </row>
    <row r="35">
      <c r="A35" s="38" t="inlineStr">
        <is>
          <t>EBITDA Margin %</t>
        </is>
      </c>
      <c r="B35" s="33">
        <f>B13/B6</f>
        <v/>
      </c>
      <c r="C35" s="33">
        <f>C13/C6</f>
        <v/>
      </c>
      <c r="D35" s="33">
        <f>D13/D6</f>
        <v/>
      </c>
      <c r="E35" s="33">
        <f>E13/E6</f>
        <v/>
      </c>
      <c r="F35" s="33">
        <f>F13/F6</f>
        <v/>
      </c>
      <c r="G35" s="33">
        <f>G13/G6</f>
        <v/>
      </c>
      <c r="H35" s="33">
        <f>H13/H6</f>
        <v/>
      </c>
      <c r="I35" s="33">
        <f>I13/I6</f>
        <v/>
      </c>
      <c r="J35" s="33">
        <f>J13/J6</f>
        <v/>
      </c>
    </row>
    <row r="36">
      <c r="A36" s="43" t="inlineStr">
        <is>
          <t>EBIT Margin %  (Operating Margin)</t>
        </is>
      </c>
      <c r="B36" s="34">
        <f>B18/B6</f>
        <v/>
      </c>
      <c r="C36" s="34">
        <f>C18/C6</f>
        <v/>
      </c>
      <c r="D36" s="34">
        <f>D18/D6</f>
        <v/>
      </c>
      <c r="E36" s="34">
        <f>E18/E6</f>
        <v/>
      </c>
      <c r="F36" s="34">
        <f>F18/F6</f>
        <v/>
      </c>
      <c r="G36" s="34">
        <f>G18/G6</f>
        <v/>
      </c>
      <c r="H36" s="34">
        <f>H18/H6</f>
        <v/>
      </c>
      <c r="I36" s="34">
        <f>I18/I6</f>
        <v/>
      </c>
      <c r="J36" s="34">
        <f>J18/J6</f>
        <v/>
      </c>
    </row>
    <row r="37">
      <c r="A37" s="38" t="inlineStr">
        <is>
          <t>PAT Margin %  (Net Profit Margin)</t>
        </is>
      </c>
      <c r="B37" s="33">
        <f>B27/B6</f>
        <v/>
      </c>
      <c r="C37" s="33">
        <f>C27/C6</f>
        <v/>
      </c>
      <c r="D37" s="33">
        <f>D27/D6</f>
        <v/>
      </c>
      <c r="E37" s="33">
        <f>E27/E6</f>
        <v/>
      </c>
      <c r="F37" s="33">
        <f>F27/F6</f>
        <v/>
      </c>
      <c r="G37" s="33">
        <f>G27/G6</f>
        <v/>
      </c>
      <c r="H37" s="33">
        <f>H27/H6</f>
        <v/>
      </c>
      <c r="I37" s="33">
        <f>I27/I6</f>
        <v/>
      </c>
      <c r="J37" s="33">
        <f>J27/J6</f>
        <v/>
      </c>
    </row>
    <row r="38">
      <c r="A38" s="43" t="inlineStr">
        <is>
          <t>Return on Equity (ROE) = PAT / Equity</t>
        </is>
      </c>
      <c r="B38" s="48">
        <f>B27/BS!B20</f>
        <v/>
      </c>
      <c r="C38" s="48">
        <f>C27/BS!C20</f>
        <v/>
      </c>
      <c r="D38" s="48">
        <f>D27/BS!D20</f>
        <v/>
      </c>
      <c r="E38" s="48">
        <f>E27/BS!E20</f>
        <v/>
      </c>
      <c r="F38" s="48">
        <f>F27/BS!F20</f>
        <v/>
      </c>
      <c r="G38" s="48">
        <f>G27/BS!G20</f>
        <v/>
      </c>
      <c r="H38" s="48">
        <f>H27/BS!H20</f>
        <v/>
      </c>
      <c r="I38" s="48">
        <f>I27/BS!I20</f>
        <v/>
      </c>
      <c r="J38" s="48">
        <f>J27/BS!J20</f>
        <v/>
      </c>
    </row>
    <row r="39">
      <c r="A39" s="38" t="inlineStr">
        <is>
          <t>Return on Assets (ROA) = PAT / Total Assets</t>
        </is>
      </c>
      <c r="B39" s="49">
        <f>B27/BS!B17</f>
        <v/>
      </c>
      <c r="C39" s="49">
        <f>C27/BS!C17</f>
        <v/>
      </c>
      <c r="D39" s="49">
        <f>D27/BS!D17</f>
        <v/>
      </c>
      <c r="E39" s="49">
        <f>E27/BS!E17</f>
        <v/>
      </c>
      <c r="F39" s="49">
        <f>F27/BS!F17</f>
        <v/>
      </c>
      <c r="G39" s="49">
        <f>G27/BS!G17</f>
        <v/>
      </c>
      <c r="H39" s="49">
        <f>H27/BS!H17</f>
        <v/>
      </c>
      <c r="I39" s="49">
        <f>I27/BS!I17</f>
        <v/>
      </c>
      <c r="J39" s="49">
        <f>J27/BS!J17</f>
        <v/>
      </c>
    </row>
    <row r="40">
      <c r="A40" s="43" t="inlineStr">
        <is>
          <t>ROCE = EBIT / (Total Assets − Current Liabilities)</t>
        </is>
      </c>
      <c r="B40" s="48">
        <f>B18/(BS!B17-BS!B28)</f>
        <v/>
      </c>
      <c r="C40" s="48">
        <f>C18/(BS!C17-BS!C28)</f>
        <v/>
      </c>
      <c r="D40" s="48">
        <f>D18/(BS!D17-BS!D28)</f>
        <v/>
      </c>
      <c r="E40" s="48">
        <f>E18/(BS!E17-BS!E28)</f>
        <v/>
      </c>
      <c r="F40" s="48">
        <f>F18/(BS!F17-BS!F28)</f>
        <v/>
      </c>
      <c r="G40" s="48">
        <f>G18/(BS!G17-BS!G28)</f>
        <v/>
      </c>
      <c r="H40" s="48">
        <f>H18/(BS!H17-BS!H28)</f>
        <v/>
      </c>
      <c r="I40" s="48">
        <f>I18/(BS!I17-BS!I28)</f>
        <v/>
      </c>
      <c r="J40" s="48">
        <f>J18/(BS!J17-BS!J28)</f>
        <v/>
      </c>
    </row>
    <row r="42" ht="16" customHeight="1">
      <c r="A42" s="25" t="inlineStr">
        <is>
          <t xml:space="preserve">  EFFICIENCY / ACTIVITY RATIOS  (days)</t>
        </is>
      </c>
    </row>
    <row r="43">
      <c r="A43" s="43" t="inlineStr">
        <is>
          <t>Inventory Days  (Inventory / COGS × 365)</t>
        </is>
      </c>
      <c r="B43" s="50">
        <f>BS!B12/B10*365</f>
        <v/>
      </c>
      <c r="C43" s="50">
        <f>BS!C12/C10*365</f>
        <v/>
      </c>
      <c r="D43" s="50">
        <f>BS!D12/D10*365</f>
        <v/>
      </c>
      <c r="E43" s="50">
        <f>BS!E12/E10*365</f>
        <v/>
      </c>
      <c r="F43" s="50">
        <f>BS!F12/F10*365</f>
        <v/>
      </c>
      <c r="G43" s="50">
        <f>BS!G12/G10*365</f>
        <v/>
      </c>
      <c r="H43" s="50">
        <f>BS!H12/H10*365</f>
        <v/>
      </c>
      <c r="I43" s="50">
        <f>BS!I12/I10*365</f>
        <v/>
      </c>
      <c r="J43" s="50">
        <f>BS!J12/J10*365</f>
        <v/>
      </c>
    </row>
    <row r="44">
      <c r="A44" s="38" t="inlineStr">
        <is>
          <t>Receivable Days  (Trade Rec / Revenue × 365)</t>
        </is>
      </c>
      <c r="B44" s="51">
        <f>BS!B13/B6*365</f>
        <v/>
      </c>
      <c r="C44" s="51">
        <f>BS!C13/C6*365</f>
        <v/>
      </c>
      <c r="D44" s="51">
        <f>BS!D13/D6*365</f>
        <v/>
      </c>
      <c r="E44" s="51">
        <f>BS!E13/E6*365</f>
        <v/>
      </c>
      <c r="F44" s="51">
        <f>BS!F13/F6*365</f>
        <v/>
      </c>
      <c r="G44" s="51">
        <f>BS!G13/G6*365</f>
        <v/>
      </c>
      <c r="H44" s="51">
        <f>BS!H13/H6*365</f>
        <v/>
      </c>
      <c r="I44" s="51">
        <f>BS!I13/I6*365</f>
        <v/>
      </c>
      <c r="J44" s="51">
        <f>BS!J13/J6*365</f>
        <v/>
      </c>
    </row>
    <row r="45">
      <c r="A45" s="43" t="inlineStr">
        <is>
          <t>Payable Days  (Trade Pay / COGS × 365)</t>
        </is>
      </c>
      <c r="B45" s="50">
        <f>BS!B25/B10*365</f>
        <v/>
      </c>
      <c r="C45" s="50">
        <f>BS!C25/C10*365</f>
        <v/>
      </c>
      <c r="D45" s="50">
        <f>BS!D25/D10*365</f>
        <v/>
      </c>
      <c r="E45" s="50">
        <f>BS!E25/E10*365</f>
        <v/>
      </c>
      <c r="F45" s="50">
        <f>BS!F25/F10*365</f>
        <v/>
      </c>
      <c r="G45" s="50">
        <f>BS!G25/G10*365</f>
        <v/>
      </c>
      <c r="H45" s="50">
        <f>BS!H25/H10*365</f>
        <v/>
      </c>
      <c r="I45" s="50">
        <f>BS!I25/I10*365</f>
        <v/>
      </c>
      <c r="J45" s="50">
        <f>BS!J25/J10*365</f>
        <v/>
      </c>
    </row>
    <row r="46">
      <c r="A46" s="38" t="inlineStr">
        <is>
          <t>Asset Turnover  (Revenue / Total Assets)</t>
        </is>
      </c>
      <c r="B46" s="52">
        <f>B6/BS!B17</f>
        <v/>
      </c>
      <c r="C46" s="52">
        <f>C6/BS!C17</f>
        <v/>
      </c>
      <c r="D46" s="52">
        <f>D6/BS!D17</f>
        <v/>
      </c>
      <c r="E46" s="52">
        <f>E6/BS!E17</f>
        <v/>
      </c>
      <c r="F46" s="52">
        <f>F6/BS!F17</f>
        <v/>
      </c>
      <c r="G46" s="52">
        <f>G6/BS!G17</f>
        <v/>
      </c>
      <c r="H46" s="52">
        <f>H6/BS!H17</f>
        <v/>
      </c>
      <c r="I46" s="52">
        <f>I6/BS!I17</f>
        <v/>
      </c>
      <c r="J46" s="52">
        <f>J6/BS!J17</f>
        <v/>
      </c>
    </row>
    <row r="48" ht="16" customHeight="1">
      <c r="A48" s="25" t="inlineStr">
        <is>
          <t xml:space="preserve">  LEVERAGE RATIOS</t>
        </is>
      </c>
    </row>
    <row r="49">
      <c r="A49" s="43" t="inlineStr">
        <is>
          <t>Debt / Equity  ((LT Debt + ST Debt) / Equity)</t>
        </is>
      </c>
      <c r="B49" s="53">
        <f>(BS!B21+BS!B26)/BS!B20</f>
        <v/>
      </c>
      <c r="C49" s="53">
        <f>(BS!C21+BS!C26)/BS!C20</f>
        <v/>
      </c>
      <c r="D49" s="53">
        <f>(BS!D21+BS!D26)/BS!D20</f>
        <v/>
      </c>
      <c r="E49" s="53">
        <f>(BS!E21+BS!E26)/BS!E20</f>
        <v/>
      </c>
      <c r="F49" s="53">
        <f>(BS!F21+BS!F26)/BS!F20</f>
        <v/>
      </c>
      <c r="G49" s="53">
        <f>(BS!G21+BS!G26)/BS!G20</f>
        <v/>
      </c>
      <c r="H49" s="53">
        <f>(BS!H21+BS!H26)/BS!H20</f>
        <v/>
      </c>
      <c r="I49" s="53">
        <f>(BS!I21+BS!I26)/BS!I20</f>
        <v/>
      </c>
      <c r="J49" s="53">
        <f>(BS!J21+BS!J26)/BS!J20</f>
        <v/>
      </c>
    </row>
    <row r="50">
      <c r="A50" s="38" t="inlineStr">
        <is>
          <t>Interest Coverage  (EBIT / Interest)</t>
        </is>
      </c>
      <c r="B50" s="54">
        <f>B18/B22</f>
        <v/>
      </c>
      <c r="C50" s="54">
        <f>C18/C22</f>
        <v/>
      </c>
      <c r="D50" s="54">
        <f>D18/D22</f>
        <v/>
      </c>
      <c r="E50" s="54">
        <f>E18/E22</f>
        <v/>
      </c>
      <c r="F50" s="54">
        <f>F18/F22</f>
        <v/>
      </c>
      <c r="G50" s="54">
        <f>G18/G22</f>
        <v/>
      </c>
      <c r="H50" s="54">
        <f>H18/H22</f>
        <v/>
      </c>
      <c r="I50" s="54">
        <f>I18/I22</f>
        <v/>
      </c>
      <c r="J50" s="54">
        <f>J18/J22</f>
        <v/>
      </c>
    </row>
    <row r="51">
      <c r="A51" s="43" t="inlineStr">
        <is>
          <t>Net Debt / EBITDA  ((Debt − Cash) / EBITDA)</t>
        </is>
      </c>
      <c r="B51" s="53">
        <f>(BS!B21+BS!B26-BS!B14)/B13</f>
        <v/>
      </c>
      <c r="C51" s="53">
        <f>(BS!C21+BS!C26-BS!C14)/C13</f>
        <v/>
      </c>
      <c r="D51" s="53">
        <f>(BS!D21+BS!D26-BS!D14)/D13</f>
        <v/>
      </c>
      <c r="E51" s="53">
        <f>(BS!E21+BS!E26-BS!E14)/E13</f>
        <v/>
      </c>
      <c r="F51" s="53">
        <f>(BS!F21+BS!F26-BS!F14)/F13</f>
        <v/>
      </c>
      <c r="G51" s="53">
        <f>(BS!G21+BS!G26-BS!G14)/G13</f>
        <v/>
      </c>
      <c r="H51" s="53">
        <f>(BS!H21+BS!H26-BS!H14)/H13</f>
        <v/>
      </c>
      <c r="I51" s="53">
        <f>(BS!I21+BS!I26-BS!I14)/I13</f>
        <v/>
      </c>
      <c r="J51" s="53">
        <f>(BS!J21+BS!J26-BS!J14)/J13</f>
        <v/>
      </c>
    </row>
  </sheetData>
  <mergeCells count="8">
    <mergeCell ref="A1:J1"/>
    <mergeCell ref="A32:J32"/>
    <mergeCell ref="A8:J8"/>
    <mergeCell ref="A15:J15"/>
    <mergeCell ref="A4:J4"/>
    <mergeCell ref="A48:J48"/>
    <mergeCell ref="A42:J42"/>
    <mergeCell ref="A33:J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pane xSplit="1" ySplit="4" topLeftCell="B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0" customHeight="1">
      <c r="A1" s="24" t="inlineStr">
        <is>
          <t xml:space="preserve">  DIXON TECHNOLOGIES — BALANCE SHEET  (₹ Crore)</t>
        </is>
      </c>
    </row>
    <row r="2">
      <c r="A2" s="10" t="inlineStr"/>
      <c r="B2" s="10" t="inlineStr">
        <is>
          <t>FY22A</t>
        </is>
      </c>
      <c r="C2" s="10" t="inlineStr">
        <is>
          <t>FY23A</t>
        </is>
      </c>
      <c r="D2" s="10" t="inlineStr">
        <is>
          <t>FY24A</t>
        </is>
      </c>
      <c r="E2" s="10" t="inlineStr">
        <is>
          <t>FY25A</t>
        </is>
      </c>
      <c r="F2" s="10" t="inlineStr">
        <is>
          <t>FY26E</t>
        </is>
      </c>
      <c r="G2" s="10" t="inlineStr">
        <is>
          <t>FY27E</t>
        </is>
      </c>
      <c r="H2" s="10" t="inlineStr">
        <is>
          <t>FY28E</t>
        </is>
      </c>
      <c r="I2" s="10" t="inlineStr">
        <is>
          <t>FY29E</t>
        </is>
      </c>
      <c r="J2" s="10" t="inlineStr">
        <is>
          <t>FY30E</t>
        </is>
      </c>
    </row>
    <row r="3">
      <c r="A3" s="10" t="inlineStr"/>
      <c r="B3" s="10" t="inlineStr">
        <is>
          <t>Actual</t>
        </is>
      </c>
      <c r="C3" s="10" t="inlineStr">
        <is>
          <t>Actual</t>
        </is>
      </c>
      <c r="D3" s="10" t="inlineStr">
        <is>
          <t>Actual</t>
        </is>
      </c>
      <c r="E3" s="10" t="inlineStr">
        <is>
          <t>Actual</t>
        </is>
      </c>
      <c r="F3" s="10" t="inlineStr">
        <is>
          <t>Forecast</t>
        </is>
      </c>
      <c r="G3" s="10" t="inlineStr">
        <is>
          <t>Forecast</t>
        </is>
      </c>
      <c r="H3" s="10" t="inlineStr">
        <is>
          <t>Forecast</t>
        </is>
      </c>
      <c r="I3" s="10" t="inlineStr">
        <is>
          <t>Forecast</t>
        </is>
      </c>
      <c r="J3" s="10" t="inlineStr">
        <is>
          <t>Forecast</t>
        </is>
      </c>
    </row>
    <row r="4" ht="16" customHeight="1">
      <c r="A4" s="25" t="inlineStr">
        <is>
          <t xml:space="preserve">  NON-CURRENT ASSETS</t>
        </is>
      </c>
    </row>
    <row r="6">
      <c r="A6" s="38" t="inlineStr">
        <is>
          <t>Net Fixed Assets (PP&amp;E, net)</t>
        </is>
      </c>
      <c r="B6" s="39" t="n">
        <v>720</v>
      </c>
      <c r="C6" s="39" t="n">
        <v>850</v>
      </c>
      <c r="D6" s="39" t="n">
        <v>1150</v>
      </c>
      <c r="E6" s="39" t="n">
        <v>1800</v>
      </c>
      <c r="F6" s="45">
        <f>E6+IS!F6*ASSUMP!B17-IS!F17</f>
        <v/>
      </c>
      <c r="G6" s="45">
        <f>F6+IS!G6*ASSUMP!B17-IS!G17</f>
        <v/>
      </c>
      <c r="H6" s="45">
        <f>G6+IS!H6*ASSUMP!B17-IS!H17</f>
        <v/>
      </c>
      <c r="I6" s="45">
        <f>H6+IS!I6*ASSUMP!B17-IS!I17</f>
        <v/>
      </c>
      <c r="J6" s="45">
        <f>I6+IS!J6*ASSUMP!B17-IS!J17</f>
        <v/>
      </c>
    </row>
    <row r="7">
      <c r="A7" s="38" t="inlineStr">
        <is>
          <t>Goodwill &amp; Intangibles</t>
        </is>
      </c>
      <c r="B7" s="39" t="n">
        <v>80</v>
      </c>
      <c r="C7" s="39" t="n">
        <v>75</v>
      </c>
      <c r="D7" s="39" t="n">
        <v>70</v>
      </c>
      <c r="E7" s="39" t="n">
        <v>65</v>
      </c>
      <c r="F7" s="40">
        <f>E7*0.95</f>
        <v/>
      </c>
      <c r="G7" s="40">
        <f>F7*0.95</f>
        <v/>
      </c>
      <c r="H7" s="40">
        <f>G7*0.95</f>
        <v/>
      </c>
      <c r="I7" s="40">
        <f>H7*0.95</f>
        <v/>
      </c>
      <c r="J7" s="40">
        <f>I7*0.95</f>
        <v/>
      </c>
    </row>
    <row r="8">
      <c r="A8" s="38" t="inlineStr">
        <is>
          <t>Long-term Investments &amp; Others</t>
        </is>
      </c>
      <c r="B8" s="39" t="n">
        <v>120</v>
      </c>
      <c r="C8" s="39" t="n">
        <v>140</v>
      </c>
      <c r="D8" s="39" t="n">
        <v>200</v>
      </c>
      <c r="E8" s="39" t="n">
        <v>380</v>
      </c>
      <c r="F8" s="40">
        <f>E8*1.08</f>
        <v/>
      </c>
      <c r="G8" s="40">
        <f>F8*1.08</f>
        <v/>
      </c>
      <c r="H8" s="40">
        <f>G8*1.08</f>
        <v/>
      </c>
      <c r="I8" s="40">
        <f>H8*1.08</f>
        <v/>
      </c>
      <c r="J8" s="40">
        <f>I8*1.08</f>
        <v/>
      </c>
    </row>
    <row r="9">
      <c r="A9" s="44" t="inlineStr">
        <is>
          <t>TOTAL NON-CURRENT ASSETS</t>
        </is>
      </c>
      <c r="B9" s="42">
        <f>B6+B7+B8</f>
        <v/>
      </c>
      <c r="C9" s="42">
        <f>C6+C7+C8</f>
        <v/>
      </c>
      <c r="D9" s="42">
        <f>D6+D7+D8</f>
        <v/>
      </c>
      <c r="E9" s="42">
        <f>E6+E7+E8</f>
        <v/>
      </c>
      <c r="F9" s="42">
        <f>F6+F7+F8</f>
        <v/>
      </c>
      <c r="G9" s="42">
        <f>G6+G7+G8</f>
        <v/>
      </c>
      <c r="H9" s="42">
        <f>H6+H7+H8</f>
        <v/>
      </c>
      <c r="I9" s="42">
        <f>I6+I7+I8</f>
        <v/>
      </c>
      <c r="J9" s="42">
        <f>J6+J7+J8</f>
        <v/>
      </c>
    </row>
    <row r="10" ht="16" customHeight="1">
      <c r="A10" s="25" t="inlineStr">
        <is>
          <t xml:space="preserve">  CURRENT ASSETS</t>
        </is>
      </c>
    </row>
    <row r="12">
      <c r="A12" s="38" t="inlineStr">
        <is>
          <t>Inventories</t>
        </is>
      </c>
      <c r="B12" s="39" t="n">
        <v>750</v>
      </c>
      <c r="C12" s="39" t="n">
        <v>900</v>
      </c>
      <c r="D12" s="39" t="n">
        <v>1400</v>
      </c>
      <c r="E12" s="39" t="n">
        <v>2800</v>
      </c>
      <c r="F12" s="45">
        <f>IS!F6*0.072</f>
        <v/>
      </c>
      <c r="G12" s="45">
        <f>IS!G6*0.072</f>
        <v/>
      </c>
      <c r="H12" s="45">
        <f>IS!H6*0.072</f>
        <v/>
      </c>
      <c r="I12" s="45">
        <f>IS!I6*0.072</f>
        <v/>
      </c>
      <c r="J12" s="45">
        <f>IS!J6*0.072</f>
        <v/>
      </c>
    </row>
    <row r="13">
      <c r="A13" s="38" t="inlineStr">
        <is>
          <t>Trade Receivables</t>
        </is>
      </c>
      <c r="B13" s="39" t="n">
        <v>900</v>
      </c>
      <c r="C13" s="39" t="n">
        <v>1100</v>
      </c>
      <c r="D13" s="39" t="n">
        <v>1750</v>
      </c>
      <c r="E13" s="39" t="n">
        <v>4200</v>
      </c>
      <c r="F13" s="45">
        <f>IS!F6*0.108</f>
        <v/>
      </c>
      <c r="G13" s="45">
        <f>IS!G6*0.108</f>
        <v/>
      </c>
      <c r="H13" s="45">
        <f>IS!H6*0.108</f>
        <v/>
      </c>
      <c r="I13" s="45">
        <f>IS!I6*0.108</f>
        <v/>
      </c>
      <c r="J13" s="45">
        <f>IS!J6*0.108</f>
        <v/>
      </c>
    </row>
    <row r="14">
      <c r="A14" s="38" t="inlineStr">
        <is>
          <t>Cash &amp; Cash Equivalents</t>
        </is>
      </c>
      <c r="B14" s="39" t="n">
        <v>320</v>
      </c>
      <c r="C14" s="39" t="n">
        <v>290</v>
      </c>
      <c r="D14" s="39" t="n">
        <v>450</v>
      </c>
      <c r="E14" s="39" t="n">
        <v>1200</v>
      </c>
      <c r="F14" s="45">
        <f>E14+CF!F22</f>
        <v/>
      </c>
      <c r="G14" s="45">
        <f>F14+CF!G22</f>
        <v/>
      </c>
      <c r="H14" s="45">
        <f>G14+CF!H22</f>
        <v/>
      </c>
      <c r="I14" s="45">
        <f>H14+CF!I22</f>
        <v/>
      </c>
      <c r="J14" s="45">
        <f>I14+CF!J22</f>
        <v/>
      </c>
    </row>
    <row r="15">
      <c r="A15" s="38" t="inlineStr">
        <is>
          <t>Other Current Assets</t>
        </is>
      </c>
      <c r="B15" s="39" t="n">
        <v>450</v>
      </c>
      <c r="C15" s="39" t="n">
        <v>520</v>
      </c>
      <c r="D15" s="39" t="n">
        <v>750</v>
      </c>
      <c r="E15" s="39" t="n">
        <v>1500</v>
      </c>
      <c r="F15" s="45">
        <f>IS!F6*0.039</f>
        <v/>
      </c>
      <c r="G15" s="45">
        <f>IS!G6*0.039</f>
        <v/>
      </c>
      <c r="H15" s="45">
        <f>IS!H6*0.039</f>
        <v/>
      </c>
      <c r="I15" s="45">
        <f>IS!I6*0.039</f>
        <v/>
      </c>
      <c r="J15" s="45">
        <f>IS!J6*0.039</f>
        <v/>
      </c>
    </row>
    <row r="16">
      <c r="A16" s="44" t="inlineStr">
        <is>
          <t>TOTAL CURRENT ASSETS</t>
        </is>
      </c>
      <c r="B16" s="42">
        <f>B12+B13+B14+B15</f>
        <v/>
      </c>
      <c r="C16" s="42">
        <f>C12+C13+C14+C15</f>
        <v/>
      </c>
      <c r="D16" s="42">
        <f>D12+D13+D14+D15</f>
        <v/>
      </c>
      <c r="E16" s="42">
        <f>E12+E13+E14+E15</f>
        <v/>
      </c>
      <c r="F16" s="42">
        <f>F12+F13+F14+F15</f>
        <v/>
      </c>
      <c r="G16" s="42">
        <f>G12+G13+G14+G15</f>
        <v/>
      </c>
      <c r="H16" s="42">
        <f>H12+H13+H14+H15</f>
        <v/>
      </c>
      <c r="I16" s="42">
        <f>I12+I13+I14+I15</f>
        <v/>
      </c>
      <c r="J16" s="42">
        <f>J12+J13+J14+J15</f>
        <v/>
      </c>
    </row>
    <row r="17">
      <c r="A17" s="55" t="inlineStr">
        <is>
          <t>TOTAL ASSETS</t>
        </is>
      </c>
      <c r="B17" s="56">
        <f>B9+B16</f>
        <v/>
      </c>
      <c r="C17" s="56">
        <f>C9+C16</f>
        <v/>
      </c>
      <c r="D17" s="56">
        <f>D9+D16</f>
        <v/>
      </c>
      <c r="E17" s="56">
        <f>E9+E16</f>
        <v/>
      </c>
      <c r="F17" s="56">
        <f>F9+F16</f>
        <v/>
      </c>
      <c r="G17" s="56">
        <f>G9+G16</f>
        <v/>
      </c>
      <c r="H17" s="56">
        <f>H9+H16</f>
        <v/>
      </c>
      <c r="I17" s="56">
        <f>I9+I16</f>
        <v/>
      </c>
      <c r="J17" s="56">
        <f>J9+J16</f>
        <v/>
      </c>
    </row>
    <row r="18" ht="16" customHeight="1">
      <c r="A18" s="25" t="inlineStr">
        <is>
          <t xml:space="preserve">  EQUITY &amp; LIABILITIES</t>
        </is>
      </c>
    </row>
    <row r="20">
      <c r="A20" s="20" t="inlineStr">
        <is>
          <t>Shareholders' Equity</t>
        </is>
      </c>
      <c r="B20" s="39" t="n">
        <v>1100</v>
      </c>
      <c r="C20" s="39" t="n">
        <v>1350</v>
      </c>
      <c r="D20" s="39" t="n">
        <v>1720</v>
      </c>
      <c r="E20" s="39" t="n">
        <v>2940</v>
      </c>
      <c r="F20" s="45">
        <f>E20+IS!F27+CF!F19</f>
        <v/>
      </c>
      <c r="G20" s="45">
        <f>F20+IS!G27+CF!G19</f>
        <v/>
      </c>
      <c r="H20" s="45">
        <f>G20+IS!H27+CF!H19</f>
        <v/>
      </c>
      <c r="I20" s="45">
        <f>H20+IS!I27+CF!I19</f>
        <v/>
      </c>
      <c r="J20" s="45">
        <f>I20+IS!J27+CF!J19</f>
        <v/>
      </c>
    </row>
    <row r="21">
      <c r="A21" s="38" t="inlineStr">
        <is>
          <t>Long-term Borrowings (LT Debt)</t>
        </is>
      </c>
      <c r="B21" s="39" t="n">
        <v>180</v>
      </c>
      <c r="C21" s="39" t="n">
        <v>220</v>
      </c>
      <c r="D21" s="39" t="n">
        <v>350</v>
      </c>
      <c r="E21" s="39" t="n">
        <v>600</v>
      </c>
      <c r="F21" s="40">
        <f>E21*1.05</f>
        <v/>
      </c>
      <c r="G21" s="40">
        <f>F21*1.05</f>
        <v/>
      </c>
      <c r="H21" s="40">
        <f>G21*1.05</f>
        <v/>
      </c>
      <c r="I21" s="40">
        <f>H21*1.05</f>
        <v/>
      </c>
      <c r="J21" s="40">
        <f>I21*1.05</f>
        <v/>
      </c>
    </row>
    <row r="22">
      <c r="A22" s="38" t="inlineStr">
        <is>
          <t>Deferred Tax &amp; Other NCL</t>
        </is>
      </c>
      <c r="B22" s="39" t="n">
        <v>80</v>
      </c>
      <c r="C22" s="39" t="n">
        <v>90</v>
      </c>
      <c r="D22" s="39" t="n">
        <v>120</v>
      </c>
      <c r="E22" s="39" t="n">
        <v>180</v>
      </c>
      <c r="F22" s="40">
        <f>E22*1.04</f>
        <v/>
      </c>
      <c r="G22" s="40">
        <f>F22*1.04</f>
        <v/>
      </c>
      <c r="H22" s="40">
        <f>G22*1.04</f>
        <v/>
      </c>
      <c r="I22" s="40">
        <f>H22*1.04</f>
        <v/>
      </c>
      <c r="J22" s="40">
        <f>I22*1.04</f>
        <v/>
      </c>
    </row>
    <row r="23" ht="16" customHeight="1">
      <c r="A23" s="25" t="inlineStr">
        <is>
          <t xml:space="preserve">  CURRENT LIABILITIES</t>
        </is>
      </c>
    </row>
    <row r="25">
      <c r="A25" s="38" t="inlineStr">
        <is>
          <t>Trade Payables</t>
        </is>
      </c>
      <c r="B25" s="39" t="n">
        <v>900</v>
      </c>
      <c r="C25" s="39" t="n">
        <v>1050</v>
      </c>
      <c r="D25" s="39" t="n">
        <v>1600</v>
      </c>
      <c r="E25" s="39" t="n">
        <v>3800</v>
      </c>
      <c r="F25" s="45">
        <f>IS!F10*0.112</f>
        <v/>
      </c>
      <c r="G25" s="45">
        <f>IS!G10*0.112</f>
        <v/>
      </c>
      <c r="H25" s="45">
        <f>IS!H10*0.112</f>
        <v/>
      </c>
      <c r="I25" s="45">
        <f>IS!I10*0.112</f>
        <v/>
      </c>
      <c r="J25" s="45">
        <f>IS!J10*0.112</f>
        <v/>
      </c>
    </row>
    <row r="26">
      <c r="A26" s="38" t="inlineStr">
        <is>
          <t>Short-term Borrowings (ST Debt)</t>
        </is>
      </c>
      <c r="B26" s="39" t="n">
        <v>250</v>
      </c>
      <c r="C26" s="39" t="n">
        <v>300</v>
      </c>
      <c r="D26" s="39" t="n">
        <v>420</v>
      </c>
      <c r="E26" s="39" t="n">
        <v>500</v>
      </c>
      <c r="F26" s="40">
        <f>E26*0.95</f>
        <v/>
      </c>
      <c r="G26" s="40">
        <f>F26*0.95</f>
        <v/>
      </c>
      <c r="H26" s="40">
        <f>G26*0.95</f>
        <v/>
      </c>
      <c r="I26" s="40">
        <f>H26*0.95</f>
        <v/>
      </c>
      <c r="J26" s="40">
        <f>I26*0.95</f>
        <v/>
      </c>
    </row>
    <row r="27">
      <c r="A27" s="38" t="inlineStr">
        <is>
          <t>Other Current Liabilities</t>
        </is>
      </c>
      <c r="B27" s="39" t="n">
        <v>600</v>
      </c>
      <c r="C27" s="39" t="n">
        <v>720</v>
      </c>
      <c r="D27" s="39" t="n">
        <v>1100</v>
      </c>
      <c r="E27" s="39" t="n">
        <v>2600</v>
      </c>
      <c r="F27" s="45">
        <f>IS!F6*0.067</f>
        <v/>
      </c>
      <c r="G27" s="45">
        <f>IS!G6*0.067</f>
        <v/>
      </c>
      <c r="H27" s="45">
        <f>IS!H6*0.067</f>
        <v/>
      </c>
      <c r="I27" s="45">
        <f>IS!I6*0.067</f>
        <v/>
      </c>
      <c r="J27" s="45">
        <f>IS!J6*0.067</f>
        <v/>
      </c>
    </row>
    <row r="28">
      <c r="A28" s="44" t="inlineStr">
        <is>
          <t>TOTAL CURRENT LIABILITIES</t>
        </is>
      </c>
      <c r="B28" s="42">
        <f>B25+B26+B27</f>
        <v/>
      </c>
      <c r="C28" s="42">
        <f>C25+C26+C27</f>
        <v/>
      </c>
      <c r="D28" s="42">
        <f>D25+D26+D27</f>
        <v/>
      </c>
      <c r="E28" s="42">
        <f>E25+E26+E27</f>
        <v/>
      </c>
      <c r="F28" s="42">
        <f>F25+F26+F27</f>
        <v/>
      </c>
      <c r="G28" s="42">
        <f>G25+G26+G27</f>
        <v/>
      </c>
      <c r="H28" s="42">
        <f>H25+H26+H27</f>
        <v/>
      </c>
      <c r="I28" s="42">
        <f>I25+I26+I27</f>
        <v/>
      </c>
      <c r="J28" s="42">
        <f>J25+J26+J27</f>
        <v/>
      </c>
    </row>
    <row r="29">
      <c r="A29" s="55" t="inlineStr">
        <is>
          <t>TOTAL EQUITY &amp; LIABILITIES</t>
        </is>
      </c>
      <c r="B29" s="57">
        <f>B20+B21+B22+B28</f>
        <v/>
      </c>
      <c r="C29" s="57">
        <f>C20+C21+C22+C28</f>
        <v/>
      </c>
      <c r="D29" s="57">
        <f>D20+D21+D22+D28</f>
        <v/>
      </c>
      <c r="E29" s="57">
        <f>E20+E21+E22+E28</f>
        <v/>
      </c>
      <c r="F29" s="57">
        <f>F20+F21+F22+F28</f>
        <v/>
      </c>
      <c r="G29" s="57">
        <f>G20+G21+G22+G28</f>
        <v/>
      </c>
      <c r="H29" s="57">
        <f>H20+H21+H22+H28</f>
        <v/>
      </c>
      <c r="I29" s="57">
        <f>I20+I21+I22+I28</f>
        <v/>
      </c>
      <c r="J29" s="57">
        <f>J20+J21+J22+J28</f>
        <v/>
      </c>
    </row>
    <row r="30">
      <c r="A30" s="38" t="inlineStr">
        <is>
          <t xml:space="preserve">  ✔ Balance Check  (Assets − L&amp;E = 0?)</t>
        </is>
      </c>
      <c r="B30" s="58">
        <f>B17-B29</f>
        <v/>
      </c>
      <c r="C30" s="58">
        <f>C17-C29</f>
        <v/>
      </c>
      <c r="D30" s="58">
        <f>D17-D29</f>
        <v/>
      </c>
      <c r="E30" s="58">
        <f>E17-E29</f>
        <v/>
      </c>
      <c r="F30" s="58">
        <f>F17-F29</f>
        <v/>
      </c>
      <c r="G30" s="58">
        <f>G17-G29</f>
        <v/>
      </c>
      <c r="H30" s="58">
        <f>H17-H29</f>
        <v/>
      </c>
      <c r="I30" s="58">
        <f>I17-I29</f>
        <v/>
      </c>
      <c r="J30" s="58">
        <f>J17-J29</f>
        <v/>
      </c>
    </row>
  </sheetData>
  <mergeCells count="5">
    <mergeCell ref="A1:J1"/>
    <mergeCell ref="A23:J23"/>
    <mergeCell ref="A18:J18"/>
    <mergeCell ref="A4:J4"/>
    <mergeCell ref="A10:J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xSplit="1" ySplit="4" topLeftCell="B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0" customHeight="1">
      <c r="A1" s="24" t="inlineStr">
        <is>
          <t xml:space="preserve">  DIXON TECHNOLOGIES — CASH FLOW STATEMENT  (₹ Crore, Indirect Method)</t>
        </is>
      </c>
    </row>
    <row r="2">
      <c r="A2" s="10" t="inlineStr"/>
      <c r="B2" s="10" t="inlineStr">
        <is>
          <t>FY22A</t>
        </is>
      </c>
      <c r="C2" s="10" t="inlineStr">
        <is>
          <t>FY23A</t>
        </is>
      </c>
      <c r="D2" s="10" t="inlineStr">
        <is>
          <t>FY24A</t>
        </is>
      </c>
      <c r="E2" s="10" t="inlineStr">
        <is>
          <t>FY25A</t>
        </is>
      </c>
      <c r="F2" s="10" t="inlineStr">
        <is>
          <t>FY26E</t>
        </is>
      </c>
      <c r="G2" s="10" t="inlineStr">
        <is>
          <t>FY27E</t>
        </is>
      </c>
      <c r="H2" s="10" t="inlineStr">
        <is>
          <t>FY28E</t>
        </is>
      </c>
      <c r="I2" s="10" t="inlineStr">
        <is>
          <t>FY29E</t>
        </is>
      </c>
      <c r="J2" s="10" t="inlineStr">
        <is>
          <t>FY30E</t>
        </is>
      </c>
    </row>
    <row r="3">
      <c r="A3" s="10" t="inlineStr"/>
      <c r="B3" s="10" t="inlineStr">
        <is>
          <t>Actual</t>
        </is>
      </c>
      <c r="C3" s="10" t="inlineStr">
        <is>
          <t>Actual</t>
        </is>
      </c>
      <c r="D3" s="10" t="inlineStr">
        <is>
          <t>Actual</t>
        </is>
      </c>
      <c r="E3" s="10" t="inlineStr">
        <is>
          <t>Actual</t>
        </is>
      </c>
      <c r="F3" s="10" t="inlineStr">
        <is>
          <t>Forecast</t>
        </is>
      </c>
      <c r="G3" s="10" t="inlineStr">
        <is>
          <t>Forecast</t>
        </is>
      </c>
      <c r="H3" s="10" t="inlineStr">
        <is>
          <t>Forecast</t>
        </is>
      </c>
      <c r="I3" s="10" t="inlineStr">
        <is>
          <t>Forecast</t>
        </is>
      </c>
      <c r="J3" s="10" t="inlineStr">
        <is>
          <t>Forecast</t>
        </is>
      </c>
    </row>
    <row r="4" ht="16" customHeight="1">
      <c r="A4" s="25" t="inlineStr">
        <is>
          <t xml:space="preserve">  OPERATING ACTIVITIES</t>
        </is>
      </c>
    </row>
    <row r="5">
      <c r="A5" s="36" t="inlineStr">
        <is>
          <t>Net Profit (PAT)</t>
        </is>
      </c>
      <c r="B5" s="59">
        <f>IS!B27</f>
        <v/>
      </c>
      <c r="C5" s="59">
        <f>IS!C27</f>
        <v/>
      </c>
      <c r="D5" s="59">
        <f>IS!D27</f>
        <v/>
      </c>
      <c r="E5" s="59">
        <f>IS!E27</f>
        <v/>
      </c>
      <c r="F5" s="59">
        <f>IS!F27</f>
        <v/>
      </c>
      <c r="G5" s="59">
        <f>IS!G27</f>
        <v/>
      </c>
      <c r="H5" s="59">
        <f>IS!H27</f>
        <v/>
      </c>
      <c r="I5" s="59">
        <f>IS!I27</f>
        <v/>
      </c>
      <c r="J5" s="59">
        <f>IS!J27</f>
        <v/>
      </c>
    </row>
    <row r="6">
      <c r="A6" s="38" t="inlineStr">
        <is>
          <t xml:space="preserve">  Add: D&amp;A (Non-cash)</t>
        </is>
      </c>
      <c r="B6" s="45">
        <f>IS!B17</f>
        <v/>
      </c>
      <c r="C6" s="45">
        <f>IS!C17</f>
        <v/>
      </c>
      <c r="D6" s="45">
        <f>IS!D17</f>
        <v/>
      </c>
      <c r="E6" s="45">
        <f>IS!E17</f>
        <v/>
      </c>
      <c r="F6" s="45">
        <f>IS!F17</f>
        <v/>
      </c>
      <c r="G6" s="45">
        <f>IS!G17</f>
        <v/>
      </c>
      <c r="H6" s="45">
        <f>IS!H17</f>
        <v/>
      </c>
      <c r="I6" s="45">
        <f>IS!I17</f>
        <v/>
      </c>
      <c r="J6" s="45">
        <f>IS!J17</f>
        <v/>
      </c>
    </row>
    <row r="7">
      <c r="A7" s="43" t="inlineStr">
        <is>
          <t xml:space="preserve">  Changes in Working Capital (ΔNWC)</t>
        </is>
      </c>
      <c r="B7" s="31" t="n">
        <v>-120</v>
      </c>
      <c r="C7" s="31" t="n">
        <v>-180</v>
      </c>
      <c r="D7" s="31" t="n">
        <v>-320</v>
      </c>
      <c r="E7" s="31" t="n">
        <v>-950</v>
      </c>
      <c r="F7" s="59">
        <f>-(IS!F6-IS!E6)*ASSUMP!B18</f>
        <v/>
      </c>
      <c r="G7" s="59">
        <f>-(IS!G6-IS!F6)*ASSUMP!B18</f>
        <v/>
      </c>
      <c r="H7" s="59">
        <f>-(IS!H6-IS!G6)*ASSUMP!B18</f>
        <v/>
      </c>
      <c r="I7" s="59">
        <f>-(IS!I6-IS!H6)*ASSUMP!B18</f>
        <v/>
      </c>
      <c r="J7" s="59">
        <f>-(IS!J6-IS!I6)*ASSUMP!B18</f>
        <v/>
      </c>
    </row>
    <row r="8">
      <c r="A8" s="38" t="inlineStr">
        <is>
          <t xml:space="preserve">  Other Adjustments (Interest &amp; Tax paid)</t>
        </is>
      </c>
      <c r="B8" s="39" t="n">
        <v>-30</v>
      </c>
      <c r="C8" s="39" t="n">
        <v>-40</v>
      </c>
      <c r="D8" s="39" t="n">
        <v>-75</v>
      </c>
      <c r="E8" s="39" t="n">
        <v>-110</v>
      </c>
      <c r="F8" s="40">
        <f>-(IS!F22+IS!F24)*0.05</f>
        <v/>
      </c>
      <c r="G8" s="40">
        <f>-(IS!G22+IS!G24)*0.05</f>
        <v/>
      </c>
      <c r="H8" s="40">
        <f>-(IS!H22+IS!H24)*0.05</f>
        <v/>
      </c>
      <c r="I8" s="40">
        <f>-(IS!I22+IS!I24)*0.05</f>
        <v/>
      </c>
      <c r="J8" s="40">
        <f>-(IS!J22+IS!J24)*0.05</f>
        <v/>
      </c>
    </row>
    <row r="9">
      <c r="A9" s="60" t="inlineStr">
        <is>
          <t>CASH FROM OPERATIONS (CFO)</t>
        </is>
      </c>
      <c r="B9" s="61">
        <f>B5+B6+B7+B8</f>
        <v/>
      </c>
      <c r="C9" s="61">
        <f>C5+C6+C7+C8</f>
        <v/>
      </c>
      <c r="D9" s="61">
        <f>D5+D6+D7+D8</f>
        <v/>
      </c>
      <c r="E9" s="61">
        <f>E5+E6+E7+E8</f>
        <v/>
      </c>
      <c r="F9" s="61">
        <f>F5+F6+F7+F8</f>
        <v/>
      </c>
      <c r="G9" s="61">
        <f>G5+G6+G7+G8</f>
        <v/>
      </c>
      <c r="H9" s="61">
        <f>H5+H6+H7+H8</f>
        <v/>
      </c>
      <c r="I9" s="61">
        <f>I5+I6+I7+I8</f>
        <v/>
      </c>
      <c r="J9" s="61">
        <f>J5+J6+J7+J8</f>
        <v/>
      </c>
    </row>
    <row r="11" ht="16" customHeight="1">
      <c r="A11" s="25" t="inlineStr">
        <is>
          <t xml:space="preserve">  INVESTING ACTIVITIES</t>
        </is>
      </c>
    </row>
    <row r="12">
      <c r="A12" s="38" t="inlineStr">
        <is>
          <t xml:space="preserve">  Capital Expenditure (Capex)</t>
        </is>
      </c>
      <c r="B12" s="39" t="n">
        <v>-155</v>
      </c>
      <c r="C12" s="39" t="n">
        <v>-195</v>
      </c>
      <c r="D12" s="39" t="n">
        <v>-340</v>
      </c>
      <c r="E12" s="39" t="n">
        <v>-600</v>
      </c>
      <c r="F12" s="45">
        <f>-(IS!F6*ASSUMP!B17)</f>
        <v/>
      </c>
      <c r="G12" s="45">
        <f>-(IS!G6*ASSUMP!B17)</f>
        <v/>
      </c>
      <c r="H12" s="45">
        <f>-(IS!H6*ASSUMP!B17)</f>
        <v/>
      </c>
      <c r="I12" s="45">
        <f>-(IS!I6*ASSUMP!B17)</f>
        <v/>
      </c>
      <c r="J12" s="45">
        <f>-(IS!J6*ASSUMP!B17)</f>
        <v/>
      </c>
    </row>
    <row r="13">
      <c r="A13" s="38" t="inlineStr">
        <is>
          <t xml:space="preserve">  Investments &amp; Others</t>
        </is>
      </c>
      <c r="B13" s="39" t="n">
        <v>-40</v>
      </c>
      <c r="C13" s="39" t="n">
        <v>-25</v>
      </c>
      <c r="D13" s="39" t="n">
        <v>-65</v>
      </c>
      <c r="E13" s="39" t="n">
        <v>-180</v>
      </c>
      <c r="F13" s="40">
        <f>-IS!F6*0.005</f>
        <v/>
      </c>
      <c r="G13" s="40">
        <f>-IS!G6*0.005</f>
        <v/>
      </c>
      <c r="H13" s="40">
        <f>-IS!H6*0.005</f>
        <v/>
      </c>
      <c r="I13" s="40">
        <f>-IS!I6*0.005</f>
        <v/>
      </c>
      <c r="J13" s="40">
        <f>-IS!J6*0.005</f>
        <v/>
      </c>
    </row>
    <row r="14">
      <c r="A14" s="44" t="inlineStr">
        <is>
          <t>CASH FROM INVESTING (CFI)</t>
        </is>
      </c>
      <c r="B14" s="42">
        <f>B12+B13</f>
        <v/>
      </c>
      <c r="C14" s="42">
        <f>C12+C13</f>
        <v/>
      </c>
      <c r="D14" s="42">
        <f>D12+D13</f>
        <v/>
      </c>
      <c r="E14" s="42">
        <f>E12+E13</f>
        <v/>
      </c>
      <c r="F14" s="42">
        <f>F12+F13</f>
        <v/>
      </c>
      <c r="G14" s="42">
        <f>G12+G13</f>
        <v/>
      </c>
      <c r="H14" s="42">
        <f>H12+H13</f>
        <v/>
      </c>
      <c r="I14" s="42">
        <f>I12+I13</f>
        <v/>
      </c>
      <c r="J14" s="42">
        <f>J12+J13</f>
        <v/>
      </c>
    </row>
    <row r="16" ht="16" customHeight="1">
      <c r="A16" s="25" t="inlineStr">
        <is>
          <t xml:space="preserve">  FINANCING ACTIVITIES</t>
        </is>
      </c>
    </row>
    <row r="17">
      <c r="A17" s="38" t="inlineStr">
        <is>
          <t xml:space="preserve">  Proceeds from / (Repayment of) Debt</t>
        </is>
      </c>
      <c r="B17" s="39" t="n">
        <v>80</v>
      </c>
      <c r="C17" s="39" t="n">
        <v>60</v>
      </c>
      <c r="D17" s="39" t="n">
        <v>120</v>
      </c>
      <c r="E17" s="39" t="n">
        <v>80</v>
      </c>
      <c r="F17" s="40">
        <f>IS!F6*0.002</f>
        <v/>
      </c>
      <c r="G17" s="40">
        <f>IS!G6*0.002</f>
        <v/>
      </c>
      <c r="H17" s="40">
        <f>IS!H6*0.002</f>
        <v/>
      </c>
      <c r="I17" s="40">
        <f>IS!I6*0.002</f>
        <v/>
      </c>
      <c r="J17" s="40">
        <f>IS!J6*0.002</f>
        <v/>
      </c>
    </row>
    <row r="18">
      <c r="A18" s="43" t="inlineStr">
        <is>
          <t xml:space="preserve">  Interest Paid</t>
        </is>
      </c>
      <c r="B18" s="59">
        <f>-IS!B22</f>
        <v/>
      </c>
      <c r="C18" s="59">
        <f>-IS!C22</f>
        <v/>
      </c>
      <c r="D18" s="59">
        <f>-IS!D22</f>
        <v/>
      </c>
      <c r="E18" s="59">
        <f>-IS!E22</f>
        <v/>
      </c>
      <c r="F18" s="59">
        <f>-IS!F22</f>
        <v/>
      </c>
      <c r="G18" s="59">
        <f>-IS!G22</f>
        <v/>
      </c>
      <c r="H18" s="59">
        <f>-IS!H22</f>
        <v/>
      </c>
      <c r="I18" s="59">
        <f>-IS!I22</f>
        <v/>
      </c>
      <c r="J18" s="59">
        <f>-IS!J22</f>
        <v/>
      </c>
    </row>
    <row r="19">
      <c r="A19" s="38" t="inlineStr">
        <is>
          <t xml:space="preserve">  Dividends Paid</t>
        </is>
      </c>
      <c r="B19" s="39" t="n">
        <v>-18</v>
      </c>
      <c r="C19" s="39" t="n">
        <v>-22</v>
      </c>
      <c r="D19" s="39" t="n">
        <v>-28</v>
      </c>
      <c r="E19" s="39" t="n">
        <v>-60</v>
      </c>
      <c r="F19" s="40">
        <f>-IS!F27*0.08</f>
        <v/>
      </c>
      <c r="G19" s="40">
        <f>-IS!G27*0.08</f>
        <v/>
      </c>
      <c r="H19" s="40">
        <f>-IS!H27*0.08</f>
        <v/>
      </c>
      <c r="I19" s="40">
        <f>-IS!I27*0.08</f>
        <v/>
      </c>
      <c r="J19" s="40">
        <f>-IS!J27*0.08</f>
        <v/>
      </c>
    </row>
    <row r="20">
      <c r="A20" s="44" t="inlineStr">
        <is>
          <t>CASH FROM FINANCING (CFF)</t>
        </is>
      </c>
      <c r="B20" s="42">
        <f>B17+B18+B19</f>
        <v/>
      </c>
      <c r="C20" s="42">
        <f>C17+C18+C19</f>
        <v/>
      </c>
      <c r="D20" s="42">
        <f>D17+D18+D19</f>
        <v/>
      </c>
      <c r="E20" s="42">
        <f>E17+E18+E19</f>
        <v/>
      </c>
      <c r="F20" s="42">
        <f>F17+F18+F19</f>
        <v/>
      </c>
      <c r="G20" s="42">
        <f>G17+G18+G19</f>
        <v/>
      </c>
      <c r="H20" s="42">
        <f>H17+H18+H19</f>
        <v/>
      </c>
      <c r="I20" s="42">
        <f>I17+I18+I19</f>
        <v/>
      </c>
      <c r="J20" s="42">
        <f>J17+J18+J19</f>
        <v/>
      </c>
    </row>
    <row r="21" ht="4" customHeight="1"/>
    <row r="22">
      <c r="A22" s="55" t="inlineStr">
        <is>
          <t>NET CHANGE IN CASH  (CFO + CFI + CFF)</t>
        </is>
      </c>
      <c r="B22" s="57">
        <f>B9+B14+B20</f>
        <v/>
      </c>
      <c r="C22" s="57">
        <f>C9+C14+C20</f>
        <v/>
      </c>
      <c r="D22" s="57">
        <f>D9+D14+D20</f>
        <v/>
      </c>
      <c r="E22" s="57">
        <f>E9+E14+E20</f>
        <v/>
      </c>
      <c r="F22" s="57">
        <f>F9+F14+F20</f>
        <v/>
      </c>
      <c r="G22" s="57">
        <f>G9+G14+G20</f>
        <v/>
      </c>
      <c r="H22" s="57">
        <f>H9+H14+H20</f>
        <v/>
      </c>
      <c r="I22" s="57">
        <f>I9+I14+I20</f>
        <v/>
      </c>
      <c r="J22" s="57">
        <f>J9+J14+J20</f>
        <v/>
      </c>
    </row>
    <row r="23">
      <c r="A23" s="38" t="inlineStr">
        <is>
          <t xml:space="preserve">  Opening Cash Balance</t>
        </is>
      </c>
      <c r="C23" s="39" t="n">
        <v>320</v>
      </c>
      <c r="D23" s="39" t="n">
        <v>290</v>
      </c>
      <c r="E23" s="39" t="n">
        <v>450</v>
      </c>
      <c r="F23" s="45">
        <f>BS!E14</f>
        <v/>
      </c>
      <c r="G23" s="45">
        <f>BS!F14</f>
        <v/>
      </c>
      <c r="H23" s="45">
        <f>BS!G14</f>
        <v/>
      </c>
      <c r="I23" s="45">
        <f>BS!H14</f>
        <v/>
      </c>
      <c r="J23" s="45">
        <f>BS!I14</f>
        <v/>
      </c>
    </row>
    <row r="24">
      <c r="A24" s="43" t="inlineStr">
        <is>
          <t xml:space="preserve">  Closing Cash Balance</t>
        </is>
      </c>
      <c r="B24" s="37">
        <f>B23+B22</f>
        <v/>
      </c>
      <c r="C24" s="37">
        <f>C23+C22</f>
        <v/>
      </c>
      <c r="D24" s="37">
        <f>D23+D22</f>
        <v/>
      </c>
      <c r="E24" s="37">
        <f>E23+E22</f>
        <v/>
      </c>
      <c r="F24" s="37">
        <f>F23+F22</f>
        <v/>
      </c>
      <c r="G24" s="37">
        <f>G23+G22</f>
        <v/>
      </c>
      <c r="H24" s="37">
        <f>H23+H22</f>
        <v/>
      </c>
      <c r="I24" s="37">
        <f>I23+I22</f>
        <v/>
      </c>
      <c r="J24" s="37">
        <f>J23+J22</f>
        <v/>
      </c>
    </row>
  </sheetData>
  <mergeCells count="4">
    <mergeCell ref="A16:J16"/>
    <mergeCell ref="A1:J1"/>
    <mergeCell ref="A4:J4"/>
    <mergeCell ref="A11:J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0" customHeight="1">
      <c r="A1" s="24" t="inlineStr">
        <is>
          <t xml:space="preserve">  DIXON TECHNOLOGIES — DCF VALUATION  +  WACC  (₹ Crore)</t>
        </is>
      </c>
    </row>
    <row r="3" ht="16" customHeight="1">
      <c r="A3" s="25" t="inlineStr">
        <is>
          <t xml:space="preserve">  SECTION A — WACC DERIVATION  (WiDS Week 3 — CAPM)</t>
        </is>
      </c>
    </row>
    <row r="4">
      <c r="A4" s="26" t="inlineStr">
        <is>
          <t>Parameter</t>
        </is>
      </c>
      <c r="B4" s="26" t="inlineStr">
        <is>
          <t>Value</t>
        </is>
      </c>
      <c r="C4" s="26" t="inlineStr">
        <is>
          <t>Notes</t>
        </is>
      </c>
    </row>
    <row r="5">
      <c r="A5" s="7" t="inlineStr">
        <is>
          <t>Risk-Free Rate (Rf)</t>
        </is>
      </c>
      <c r="B5" s="49">
        <f>ASSUMP!B24</f>
        <v/>
      </c>
      <c r="C5" s="23" t="inlineStr">
        <is>
          <t>India 10-yr G-Sec yield — RBI (June 2026)</t>
        </is>
      </c>
    </row>
    <row r="6">
      <c r="A6" s="4" t="inlineStr">
        <is>
          <t>Equity Risk Premium (ERP)</t>
        </is>
      </c>
      <c r="B6" s="48">
        <f>ASSUMP!B25</f>
        <v/>
      </c>
      <c r="C6" s="29" t="inlineStr">
        <is>
          <t>Damodaran India ERP (Jan 2026)</t>
        </is>
      </c>
      <c r="D6" s="5" t="n"/>
      <c r="E6" s="5" t="n"/>
      <c r="F6" s="5" t="n"/>
      <c r="G6" s="5" t="n"/>
      <c r="H6" s="5" t="n"/>
    </row>
    <row r="7">
      <c r="A7" s="7" t="inlineStr">
        <is>
          <t>Beta (β)  — Levered vs Nifty 50</t>
        </is>
      </c>
      <c r="B7" s="51">
        <f>ASSUMP!B26</f>
        <v/>
      </c>
      <c r="C7" s="23" t="inlineStr">
        <is>
          <t>Regressed 2-yr weekly; EMS is cyclical</t>
        </is>
      </c>
    </row>
    <row r="8">
      <c r="A8" s="4" t="inlineStr">
        <is>
          <t>Cost of Equity  Ke = Rf + β×ERP</t>
        </is>
      </c>
      <c r="B8" s="48">
        <f>ASSUMP!B27</f>
        <v/>
      </c>
      <c r="C8" s="29" t="inlineStr">
        <is>
          <t>CAPM: 7.0% + 1.40 × 6.0% = 15.4%</t>
        </is>
      </c>
      <c r="D8" s="5" t="n"/>
      <c r="E8" s="5" t="n"/>
      <c r="F8" s="5" t="n"/>
      <c r="G8" s="5" t="n"/>
      <c r="H8" s="5" t="n"/>
    </row>
    <row r="9">
      <c r="A9" s="7" t="inlineStr">
        <is>
          <t>Weight of Debt  D/(D+E)</t>
        </is>
      </c>
      <c r="B9" s="49">
        <f>ASSUMP!B28</f>
        <v/>
      </c>
      <c r="C9" s="23" t="inlineStr">
        <is>
          <t>Conservative; Dixon equity-heavy per FY25 BS</t>
        </is>
      </c>
    </row>
    <row r="10">
      <c r="A10" s="4" t="inlineStr">
        <is>
          <t>Pre-tax Cost of Debt  Kd</t>
        </is>
      </c>
      <c r="B10" s="48">
        <f>ASSUMP!B29</f>
        <v/>
      </c>
      <c r="C10" s="29" t="inlineStr">
        <is>
          <t>Repo + ~200bps spread</t>
        </is>
      </c>
      <c r="D10" s="5" t="n"/>
      <c r="E10" s="5" t="n"/>
      <c r="F10" s="5" t="n"/>
      <c r="G10" s="5" t="n"/>
      <c r="H10" s="5" t="n"/>
    </row>
    <row r="11">
      <c r="A11" s="7" t="inlineStr">
        <is>
          <t>After-tax Cost of Debt  Kd×(1-t)</t>
        </is>
      </c>
      <c r="B11" s="49">
        <f>ASSUMP!B30</f>
        <v/>
      </c>
      <c r="C11" s="23" t="inlineStr">
        <is>
          <t>Tax shield on interest</t>
        </is>
      </c>
    </row>
    <row r="12">
      <c r="A12" s="4" t="inlineStr">
        <is>
          <t>Weight of Equity  E/(D+E)</t>
        </is>
      </c>
      <c r="B12" s="48">
        <f>1-ASSUMP!B28</f>
        <v/>
      </c>
      <c r="C12" s="29" t="inlineStr">
        <is>
          <t>Complement of debt weight</t>
        </is>
      </c>
      <c r="D12" s="5" t="n"/>
      <c r="E12" s="5" t="n"/>
      <c r="F12" s="5" t="n"/>
      <c r="G12" s="5" t="n"/>
      <c r="H12" s="5" t="n"/>
    </row>
    <row r="13">
      <c r="A13" s="7" t="inlineStr">
        <is>
          <t>Terminal Growth Rate (g)</t>
        </is>
      </c>
      <c r="B13" s="49">
        <f>ASSUMP!B35</f>
        <v/>
      </c>
      <c r="C13" s="23" t="inlineStr">
        <is>
          <t>Long-run India nominal GDP growth proxy</t>
        </is>
      </c>
    </row>
    <row r="15" ht="18" customHeight="1">
      <c r="A15" s="62" t="inlineStr">
        <is>
          <t>► WACC  =  Ke×(E%) + Kd×(D%)</t>
        </is>
      </c>
      <c r="B15" s="63">
        <f>ASSUMP!B31</f>
        <v/>
      </c>
      <c r="C15" s="64" t="inlineStr">
        <is>
          <t>≈ 13.6%  |  Ke×80% + Kd_at×20%</t>
        </is>
      </c>
      <c r="D15" s="65" t="n"/>
      <c r="E15" s="65" t="n"/>
      <c r="F15" s="65" t="n"/>
      <c r="G15" s="65" t="n"/>
      <c r="H15" s="65" t="n"/>
    </row>
    <row r="17" ht="6" customHeight="1"/>
    <row r="18" ht="16" customHeight="1">
      <c r="A18" s="25" t="inlineStr">
        <is>
          <t xml:space="preserve">  SECTION B — FREE CASH FLOW TO FIRM (FCFF)  FY26E–FY30E</t>
        </is>
      </c>
    </row>
    <row r="19">
      <c r="A19" s="26" t="inlineStr"/>
      <c r="B19" s="26" t="inlineStr"/>
      <c r="C19" s="26" t="inlineStr">
        <is>
          <t>FY26E</t>
        </is>
      </c>
      <c r="D19" s="26" t="inlineStr">
        <is>
          <t>FY27E</t>
        </is>
      </c>
      <c r="E19" s="26" t="inlineStr">
        <is>
          <t>FY28E</t>
        </is>
      </c>
      <c r="F19" s="26" t="inlineStr">
        <is>
          <t>FY29E</t>
        </is>
      </c>
      <c r="G19" s="26" t="inlineStr">
        <is>
          <t>FY30E</t>
        </is>
      </c>
      <c r="H19" s="26" t="inlineStr"/>
    </row>
    <row r="20">
      <c r="A20" s="7" t="inlineStr">
        <is>
          <t>Revenue (₹ Cr)</t>
        </is>
      </c>
      <c r="C20" s="45">
        <f>IS!F6</f>
        <v/>
      </c>
      <c r="D20" s="45">
        <f>IS!G6</f>
        <v/>
      </c>
      <c r="E20" s="45">
        <f>IS!H6</f>
        <v/>
      </c>
      <c r="F20" s="45">
        <f>IS!I6</f>
        <v/>
      </c>
      <c r="G20" s="45">
        <f>IS!J6</f>
        <v/>
      </c>
    </row>
    <row r="21">
      <c r="A21" s="7" t="inlineStr">
        <is>
          <t>EBIT (₹ Cr)</t>
        </is>
      </c>
      <c r="C21" s="45">
        <f>IS!F18</f>
        <v/>
      </c>
      <c r="D21" s="45">
        <f>IS!G18</f>
        <v/>
      </c>
      <c r="E21" s="45">
        <f>IS!H18</f>
        <v/>
      </c>
      <c r="F21" s="45">
        <f>IS!I18</f>
        <v/>
      </c>
      <c r="G21" s="45">
        <f>IS!J18</f>
        <v/>
      </c>
    </row>
    <row r="22">
      <c r="A22" s="43" t="inlineStr">
        <is>
          <t xml:space="preserve">  EBIT Margin %</t>
        </is>
      </c>
      <c r="B22" s="5" t="n"/>
      <c r="C22" s="48">
        <f>IS!F19</f>
        <v/>
      </c>
      <c r="D22" s="48">
        <f>IS!G19</f>
        <v/>
      </c>
      <c r="E22" s="48">
        <f>IS!H19</f>
        <v/>
      </c>
      <c r="F22" s="48">
        <f>IS!I19</f>
        <v/>
      </c>
      <c r="G22" s="48">
        <f>IS!J19</f>
        <v/>
      </c>
      <c r="H22" s="5" t="n"/>
    </row>
    <row r="23">
      <c r="A23" s="43" t="inlineStr">
        <is>
          <t xml:space="preserve">  Tax Rate</t>
        </is>
      </c>
      <c r="B23" s="5" t="n"/>
      <c r="C23" s="48">
        <f>ASSUMP!B12</f>
        <v/>
      </c>
      <c r="D23" s="48">
        <f>ASSUMP!B12</f>
        <v/>
      </c>
      <c r="E23" s="48">
        <f>ASSUMP!B12</f>
        <v/>
      </c>
      <c r="F23" s="48">
        <f>ASSUMP!B12</f>
        <v/>
      </c>
      <c r="G23" s="48">
        <f>ASSUMP!B12</f>
        <v/>
      </c>
      <c r="H23" s="5" t="n"/>
    </row>
    <row r="24">
      <c r="A24" s="20" t="inlineStr">
        <is>
          <t>NOPAT  =  EBIT × (1 − Tax Rate)</t>
        </is>
      </c>
      <c r="C24" s="40">
        <f>C21*(1-ASSUMP!B12)</f>
        <v/>
      </c>
      <c r="D24" s="40">
        <f>D21*(1-ASSUMP!B12)</f>
        <v/>
      </c>
      <c r="E24" s="40">
        <f>E21*(1-ASSUMP!B12)</f>
        <v/>
      </c>
      <c r="F24" s="40">
        <f>F21*(1-ASSUMP!B12)</f>
        <v/>
      </c>
      <c r="G24" s="40">
        <f>G21*(1-ASSUMP!B12)</f>
        <v/>
      </c>
    </row>
    <row r="25">
      <c r="A25" s="38" t="inlineStr">
        <is>
          <t xml:space="preserve">  Add: D&amp;A</t>
        </is>
      </c>
      <c r="C25" s="45">
        <f>IS!F17</f>
        <v/>
      </c>
      <c r="D25" s="45">
        <f>IS!G17</f>
        <v/>
      </c>
      <c r="E25" s="45">
        <f>IS!H17</f>
        <v/>
      </c>
      <c r="F25" s="45">
        <f>IS!I17</f>
        <v/>
      </c>
      <c r="G25" s="45">
        <f>IS!J17</f>
        <v/>
      </c>
    </row>
    <row r="26">
      <c r="A26" s="38" t="inlineStr">
        <is>
          <t xml:space="preserve">  Less: Capex</t>
        </is>
      </c>
      <c r="C26" s="40">
        <f>-(IS!F6*ASSUMP!B17)</f>
        <v/>
      </c>
      <c r="D26" s="40">
        <f>-(IS!G6*ASSUMP!B17)</f>
        <v/>
      </c>
      <c r="E26" s="40">
        <f>-(IS!H6*ASSUMP!B17)</f>
        <v/>
      </c>
      <c r="F26" s="40">
        <f>-(IS!I6*ASSUMP!B17)</f>
        <v/>
      </c>
      <c r="G26" s="40">
        <f>-(IS!J6*ASSUMP!B17)</f>
        <v/>
      </c>
    </row>
    <row r="27">
      <c r="A27" s="60" t="inlineStr">
        <is>
          <t>FCFF  =  NOPAT + D&amp;A − Capex − ΔNWC</t>
        </is>
      </c>
      <c r="B27" s="66" t="n"/>
      <c r="C27" s="67">
        <f>C24+C25+C26+C28</f>
        <v/>
      </c>
      <c r="D27" s="67">
        <f>D24+D25+D26+D28</f>
        <v/>
      </c>
      <c r="E27" s="67">
        <f>E24+E25+E26+E28</f>
        <v/>
      </c>
      <c r="F27" s="67">
        <f>F24+F25+F26+F28</f>
        <v/>
      </c>
      <c r="G27" s="67">
        <f>G24+G25+G26+G28</f>
        <v/>
      </c>
      <c r="H27" s="66" t="n"/>
      <c r="I27" s="68" t="n"/>
      <c r="J27" s="68" t="n"/>
    </row>
    <row r="28">
      <c r="A28" s="38" t="inlineStr">
        <is>
          <t xml:space="preserve">  Less: ΔNWC  (Change in Net Working Capital)</t>
        </is>
      </c>
      <c r="C28" s="40">
        <f>-(IS!F6*ASSUMP!B18-IS!E6*ASSUMP!B18)</f>
        <v/>
      </c>
      <c r="D28" s="40">
        <f>-(IS!G6*ASSUMP!B18-IS!F6*ASSUMP!B18)</f>
        <v/>
      </c>
      <c r="E28" s="40">
        <f>-(IS!H6*ASSUMP!B18-IS!G6*ASSUMP!B18)</f>
        <v/>
      </c>
      <c r="F28" s="40">
        <f>-(IS!I6*ASSUMP!B18-IS!H6*ASSUMP!B18)</f>
        <v/>
      </c>
      <c r="G28" s="40">
        <f>-(IS!J6*ASSUMP!B18-IS!I6*ASSUMP!B18)</f>
        <v/>
      </c>
    </row>
    <row r="30" ht="6" customHeight="1"/>
    <row r="31" ht="16" customHeight="1">
      <c r="A31" s="25" t="inlineStr">
        <is>
          <t xml:space="preserve">  SECTION C — PRESENT VALUE OF FCFF</t>
        </is>
      </c>
    </row>
    <row r="32">
      <c r="A32" s="26" t="inlineStr"/>
      <c r="B32" s="26" t="inlineStr"/>
      <c r="C32" s="26" t="inlineStr">
        <is>
          <t>FY26E</t>
        </is>
      </c>
      <c r="D32" s="26" t="inlineStr">
        <is>
          <t>FY27E</t>
        </is>
      </c>
      <c r="E32" s="26" t="inlineStr">
        <is>
          <t>FY28E</t>
        </is>
      </c>
      <c r="F32" s="26" t="inlineStr">
        <is>
          <t>FY29E</t>
        </is>
      </c>
      <c r="G32" s="26" t="inlineStr">
        <is>
          <t>FY30E</t>
        </is>
      </c>
      <c r="H32" s="26" t="inlineStr"/>
    </row>
    <row r="33">
      <c r="A33" s="7" t="inlineStr">
        <is>
          <t>Discount Period (t)</t>
        </is>
      </c>
      <c r="C33" s="69" t="n">
        <v>1</v>
      </c>
      <c r="D33" s="69" t="n">
        <v>2</v>
      </c>
      <c r="E33" s="69" t="n">
        <v>3</v>
      </c>
      <c r="F33" s="69" t="n">
        <v>4</v>
      </c>
      <c r="G33" s="69" t="n">
        <v>5</v>
      </c>
    </row>
    <row r="34">
      <c r="A34" s="4" t="inlineStr">
        <is>
          <t>Discount Factor  =  1 / (1+WACC)^t</t>
        </is>
      </c>
      <c r="B34" s="5" t="n"/>
      <c r="C34" s="70">
        <f>1/(1+ASSUMP!B31)^C33</f>
        <v/>
      </c>
      <c r="D34" s="70">
        <f>1/(1+ASSUMP!B31)^D33</f>
        <v/>
      </c>
      <c r="E34" s="70">
        <f>1/(1+ASSUMP!B31)^E33</f>
        <v/>
      </c>
      <c r="F34" s="70">
        <f>1/(1+ASSUMP!B31)^F33</f>
        <v/>
      </c>
      <c r="G34" s="70">
        <f>1/(1+ASSUMP!B31)^G33</f>
        <v/>
      </c>
      <c r="H34" s="5" t="n"/>
    </row>
    <row r="35">
      <c r="A35" s="60" t="inlineStr">
        <is>
          <t>PV of FCFF</t>
        </is>
      </c>
      <c r="B35" s="66" t="n"/>
      <c r="C35" s="61">
        <f>C27*C34</f>
        <v/>
      </c>
      <c r="D35" s="61">
        <f>D27*D34</f>
        <v/>
      </c>
      <c r="E35" s="61">
        <f>E27*E34</f>
        <v/>
      </c>
      <c r="F35" s="61">
        <f>F27*F34</f>
        <v/>
      </c>
      <c r="G35" s="61">
        <f>G27*G34</f>
        <v/>
      </c>
      <c r="H35" s="66" t="n"/>
      <c r="I35" s="68" t="n"/>
      <c r="J35" s="68" t="n"/>
    </row>
    <row r="37" ht="6" customHeight="1"/>
    <row r="38" ht="16" customHeight="1">
      <c r="A38" s="25" t="inlineStr">
        <is>
          <t xml:space="preserve">  SECTION D — TERMINAL VALUE  (Gordon Growth Model)</t>
        </is>
      </c>
    </row>
    <row r="39">
      <c r="A39" s="7" t="inlineStr">
        <is>
          <t>Terminal Year FCFF  (FY30E)</t>
        </is>
      </c>
      <c r="C39" s="45">
        <f>G27</f>
        <v/>
      </c>
    </row>
    <row r="40">
      <c r="A40" s="7" t="inlineStr">
        <is>
          <t>Terminal Growth Rate  (g)</t>
        </is>
      </c>
      <c r="C40" s="49">
        <f>ASSUMP!B35</f>
        <v/>
      </c>
    </row>
    <row r="41">
      <c r="A41" s="7" t="inlineStr">
        <is>
          <t>WACC</t>
        </is>
      </c>
      <c r="C41" s="49">
        <f>ASSUMP!B31</f>
        <v/>
      </c>
    </row>
    <row r="42">
      <c r="A42" s="71" t="inlineStr">
        <is>
          <t>Terminal Value  =  FCFF×(1+g) / (WACC − g)</t>
        </is>
      </c>
      <c r="B42" s="65" t="n"/>
      <c r="C42" s="72">
        <f>C39*(1+ASSUMP!B35)/(ASSUMP!B31-ASSUMP!B35)</f>
        <v/>
      </c>
      <c r="D42" s="65" t="n"/>
      <c r="E42" s="65" t="n"/>
      <c r="F42" s="65" t="n"/>
      <c r="G42" s="65" t="n"/>
      <c r="H42" s="65" t="n"/>
    </row>
    <row r="43">
      <c r="A43" s="60" t="inlineStr">
        <is>
          <t>PV of Terminal Value  =  TV / (1+WACC)^5</t>
        </is>
      </c>
      <c r="B43" s="66" t="n"/>
      <c r="C43" s="61">
        <f>C42/(1+ASSUMP!B31)^5</f>
        <v/>
      </c>
      <c r="D43" s="66" t="n"/>
      <c r="E43" s="66" t="n"/>
      <c r="F43" s="66" t="n"/>
      <c r="G43" s="66" t="n"/>
      <c r="H43" s="66" t="n"/>
      <c r="I43" s="68" t="n"/>
      <c r="J43" s="68" t="n"/>
    </row>
    <row r="45" ht="6" customHeight="1"/>
    <row r="46" ht="16" customHeight="1">
      <c r="A46" s="25" t="inlineStr">
        <is>
          <t xml:space="preserve">  SECTION E — ENTERPRISE VALUE → EQUITY VALUE BRIDGE</t>
        </is>
      </c>
    </row>
    <row r="47">
      <c r="A47" s="7" t="inlineStr">
        <is>
          <t>Sum of PV (FCFF)  — FY26–FY30</t>
        </is>
      </c>
      <c r="C47" s="40">
        <f>SUM(C35:G35)</f>
        <v/>
      </c>
    </row>
    <row r="48">
      <c r="A48" s="4" t="inlineStr">
        <is>
          <t>PV of Terminal Value</t>
        </is>
      </c>
      <c r="B48" s="5" t="n"/>
      <c r="C48" s="59">
        <f>C43</f>
        <v/>
      </c>
      <c r="D48" s="5" t="n"/>
      <c r="E48" s="5" t="n"/>
      <c r="F48" s="5" t="n"/>
      <c r="G48" s="5" t="n"/>
      <c r="H48" s="5" t="n"/>
      <c r="I48" s="5" t="n"/>
      <c r="J48" s="5" t="n"/>
    </row>
    <row r="49">
      <c r="A49" s="60" t="inlineStr">
        <is>
          <t>Enterprise Value (EV)</t>
        </is>
      </c>
      <c r="B49" s="66" t="n"/>
      <c r="C49" s="73">
        <f>C47+C48</f>
        <v/>
      </c>
      <c r="D49" s="66" t="n"/>
      <c r="E49" s="66" t="n"/>
      <c r="F49" s="66" t="n"/>
      <c r="G49" s="66" t="n"/>
      <c r="H49" s="66" t="n"/>
      <c r="I49" s="68" t="n"/>
      <c r="J49" s="68" t="n"/>
    </row>
    <row r="51">
      <c r="A51" s="38" t="inlineStr">
        <is>
          <t xml:space="preserve">  Less: Total Debt  (LT + ST)</t>
        </is>
      </c>
      <c r="C51" s="45">
        <f>-(BS!E21+BS!E26)</f>
        <v/>
      </c>
    </row>
    <row r="52">
      <c r="A52" s="43" t="inlineStr">
        <is>
          <t xml:space="preserve">  Add: Cash &amp; Equivalents  (FY25A)</t>
        </is>
      </c>
      <c r="B52" s="5" t="n"/>
      <c r="C52" s="74">
        <f>BS!E14</f>
        <v/>
      </c>
      <c r="D52" s="5" t="n"/>
      <c r="E52" s="5" t="n"/>
      <c r="F52" s="5" t="n"/>
      <c r="G52" s="5" t="n"/>
      <c r="H52" s="5" t="n"/>
      <c r="I52" s="5" t="n"/>
      <c r="J52" s="5" t="n"/>
    </row>
    <row r="53">
      <c r="A53" s="38" t="inlineStr">
        <is>
          <t xml:space="preserve">  Less: Minority Interest  (FY25A)</t>
        </is>
      </c>
      <c r="C53" s="75">
        <f>-100</f>
        <v/>
      </c>
    </row>
    <row r="54">
      <c r="A54" s="60" t="inlineStr">
        <is>
          <t>EQUITY VALUE  =  EV − Debt + Cash − MI</t>
        </is>
      </c>
      <c r="B54" s="66" t="n"/>
      <c r="C54" s="61">
        <f>C49+C51+C52+C53</f>
        <v/>
      </c>
      <c r="D54" s="66" t="n"/>
      <c r="E54" s="66" t="n"/>
      <c r="F54" s="66" t="n"/>
      <c r="G54" s="66" t="n"/>
      <c r="H54" s="66" t="n"/>
      <c r="I54" s="68" t="n"/>
      <c r="J54" s="68" t="n"/>
    </row>
    <row r="55">
      <c r="A55" s="38" t="inlineStr">
        <is>
          <t xml:space="preserve">  Shares Outstanding  (lakhs)</t>
        </is>
      </c>
      <c r="C55" s="45">
        <f>ASSUMP!B19</f>
        <v/>
      </c>
    </row>
    <row r="56" ht="20" customHeight="1">
      <c r="A56" s="76" t="inlineStr">
        <is>
          <t>IMPLIED SHARE PRICE  (₹ per share)</t>
        </is>
      </c>
      <c r="B56" s="65" t="n"/>
      <c r="C56" s="77">
        <f>C54*100/ASSUMP!B19</f>
        <v/>
      </c>
      <c r="D56" s="65" t="n"/>
      <c r="E56" s="65" t="n"/>
      <c r="F56" s="65" t="n"/>
      <c r="G56" s="65" t="n"/>
      <c r="H56" s="65" t="n"/>
    </row>
    <row r="58" ht="6" customHeight="1"/>
    <row r="59" ht="16" customHeight="1">
      <c r="A59" s="25" t="inlineStr">
        <is>
          <t xml:space="preserve">  SECTION F — EV/EBITDA CROSS-CHECK  (Sanity Test)</t>
        </is>
      </c>
    </row>
    <row r="60">
      <c r="A60" s="7" t="inlineStr">
        <is>
          <t>Enterprise Value (₹ Cr)</t>
        </is>
      </c>
      <c r="C60" s="45">
        <f>C49</f>
        <v/>
      </c>
    </row>
    <row r="61">
      <c r="A61" s="4" t="inlineStr">
        <is>
          <t>LTM EBITDA  (FY25A, ₹ Cr)</t>
        </is>
      </c>
      <c r="B61" s="5" t="n"/>
      <c r="C61" s="59">
        <f>IS!E13</f>
        <v/>
      </c>
      <c r="D61" s="5" t="n"/>
      <c r="E61" s="5" t="n"/>
      <c r="F61" s="5" t="n"/>
      <c r="G61" s="5" t="n"/>
      <c r="H61" s="5" t="n"/>
      <c r="I61" s="5" t="n"/>
      <c r="J61" s="5" t="n"/>
    </row>
    <row r="62">
      <c r="A62" s="71" t="inlineStr">
        <is>
          <t>Implied EV/EBITDA Multiple</t>
        </is>
      </c>
      <c r="B62" s="65" t="n"/>
      <c r="C62" s="78">
        <f>C60/C61</f>
        <v/>
      </c>
      <c r="D62" s="65" t="n"/>
      <c r="E62" s="65" t="n"/>
      <c r="F62" s="65" t="n"/>
      <c r="G62" s="65" t="n"/>
      <c r="H62" s="65" t="n"/>
    </row>
    <row r="63">
      <c r="A63" s="7" t="inlineStr">
        <is>
          <t>Peer Median EV/EBITDA  (see COMPS tab)</t>
        </is>
      </c>
      <c r="C63" s="79" t="n">
        <v>42.6</v>
      </c>
      <c r="D63" s="80" t="inlineStr">
        <is>
          <t>→ Check COMPS tab for peer context</t>
        </is>
      </c>
    </row>
  </sheetData>
  <mergeCells count="19">
    <mergeCell ref="C10:H10"/>
    <mergeCell ref="A59:H59"/>
    <mergeCell ref="C9:H9"/>
    <mergeCell ref="A1:H1"/>
    <mergeCell ref="C12:H12"/>
    <mergeCell ref="C11:H11"/>
    <mergeCell ref="C8:H8"/>
    <mergeCell ref="A46:H46"/>
    <mergeCell ref="C7:H7"/>
    <mergeCell ref="A18:H18"/>
    <mergeCell ref="A3:H3"/>
    <mergeCell ref="C13:H13"/>
    <mergeCell ref="C39:G39"/>
    <mergeCell ref="C15:H15"/>
    <mergeCell ref="C6:H6"/>
    <mergeCell ref="C5:H5"/>
    <mergeCell ref="A38:H38"/>
    <mergeCell ref="C4:H4"/>
    <mergeCell ref="A31:H3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5" customWidth="1" min="10" max="10"/>
  </cols>
  <sheetData>
    <row r="1" ht="20" customHeight="1">
      <c r="A1" s="24" t="inlineStr">
        <is>
          <t xml:space="preserve">  DIXON TECHNOLOGIES — 2-WAY SENSITIVITY  |  Implied Share Price (₹)</t>
        </is>
      </c>
    </row>
    <row r="3">
      <c r="B3" s="23" t="inlineStr">
        <is>
          <t>Implied Share Price (₹) sensitised across WACC (rows) and Terminal Growth Rate (columns). Formula replicates full DCF inline — no circular references.</t>
        </is>
      </c>
    </row>
    <row r="5">
      <c r="B5" s="10" t="inlineStr">
        <is>
          <t>WACC  ↓  /  TGR  →</t>
        </is>
      </c>
      <c r="C5" s="81" t="n">
        <v>0.04</v>
      </c>
      <c r="D5" s="81" t="n">
        <v>0.045</v>
      </c>
      <c r="E5" s="81" t="n">
        <v>0.05</v>
      </c>
      <c r="F5" s="81" t="n">
        <v>0.055</v>
      </c>
      <c r="G5" s="81" t="n">
        <v>0.06</v>
      </c>
      <c r="H5" s="81" t="n">
        <v>0.065</v>
      </c>
      <c r="I5" s="81" t="n">
        <v>0.07000000000000001</v>
      </c>
    </row>
    <row r="6">
      <c r="B6" s="81" t="n">
        <v>0.11</v>
      </c>
      <c r="C6" s="82">
        <f>IF(C5&gt;=B6,"N/A",(DCF!C27/(1+B6)^1+DCF!D27/(1+B6)^2+DCF!E27/(1+B6)^3+DCF!F27/(1+B6)^4+DCF!G27/(1+B6)^5+DCF!G27*(1+C5)/(B6-C5)/(1+B6)^5+DCF!C51+DCF!C52+DCF!C53)*100/ASSUMP!B19)</f>
        <v/>
      </c>
      <c r="D6" s="82">
        <f>IF(D5&gt;=B6,"N/A",(DCF!C27/(1+B6)^1+DCF!D27/(1+B6)^2+DCF!E27/(1+B6)^3+DCF!F27/(1+B6)^4+DCF!G27/(1+B6)^5+DCF!G27*(1+D5)/(B6-D5)/(1+B6)^5+DCF!C51+DCF!C52+DCF!C53)*100/ASSUMP!B19)</f>
        <v/>
      </c>
      <c r="E6" s="82">
        <f>IF(E5&gt;=B6,"N/A",(DCF!C27/(1+B6)^1+DCF!D27/(1+B6)^2+DCF!E27/(1+B6)^3+DCF!F27/(1+B6)^4+DCF!G27/(1+B6)^5+DCF!G27*(1+E5)/(B6-E5)/(1+B6)^5+DCF!C51+DCF!C52+DCF!C53)*100/ASSUMP!B19)</f>
        <v/>
      </c>
      <c r="F6" s="82">
        <f>IF(F5&gt;=B6,"N/A",(DCF!C27/(1+B6)^1+DCF!D27/(1+B6)^2+DCF!E27/(1+B6)^3+DCF!F27/(1+B6)^4+DCF!G27/(1+B6)^5+DCF!G27*(1+F5)/(B6-F5)/(1+B6)^5+DCF!C51+DCF!C52+DCF!C53)*100/ASSUMP!B19)</f>
        <v/>
      </c>
      <c r="G6" s="82">
        <f>IF(G5&gt;=B6,"N/A",(DCF!C27/(1+B6)^1+DCF!D27/(1+B6)^2+DCF!E27/(1+B6)^3+DCF!F27/(1+B6)^4+DCF!G27/(1+B6)^5+DCF!G27*(1+G5)/(B6-G5)/(1+B6)^5+DCF!C51+DCF!C52+DCF!C53)*100/ASSUMP!B19)</f>
        <v/>
      </c>
      <c r="H6" s="82">
        <f>IF(H5&gt;=B6,"N/A",(DCF!C27/(1+B6)^1+DCF!D27/(1+B6)^2+DCF!E27/(1+B6)^3+DCF!F27/(1+B6)^4+DCF!G27/(1+B6)^5+DCF!G27*(1+H5)/(B6-H5)/(1+B6)^5+DCF!C51+DCF!C52+DCF!C53)*100/ASSUMP!B19)</f>
        <v/>
      </c>
      <c r="I6" s="82">
        <f>IF(I5&gt;=B6,"N/A",(DCF!C27/(1+B6)^1+DCF!D27/(1+B6)^2+DCF!E27/(1+B6)^3+DCF!F27/(1+B6)^4+DCF!G27/(1+B6)^5+DCF!G27*(1+I5)/(B6-I5)/(1+B6)^5+DCF!C51+DCF!C52+DCF!C53)*100/ASSUMP!B19)</f>
        <v/>
      </c>
    </row>
    <row r="7">
      <c r="B7" s="81" t="n">
        <v>0.12</v>
      </c>
      <c r="C7" s="83">
        <f>IF(C5&gt;=B7,"N/A",(DCF!C27/(1+B7)^1+DCF!D27/(1+B7)^2+DCF!E27/(1+B7)^3+DCF!F27/(1+B7)^4+DCF!G27/(1+B7)^5+DCF!G27*(1+C5)/(B7-C5)/(1+B7)^5+DCF!C51+DCF!C52+DCF!C53)*100/ASSUMP!B19)</f>
        <v/>
      </c>
      <c r="D7" s="83">
        <f>IF(D5&gt;=B7,"N/A",(DCF!C27/(1+B7)^1+DCF!D27/(1+B7)^2+DCF!E27/(1+B7)^3+DCF!F27/(1+B7)^4+DCF!G27/(1+B7)^5+DCF!G27*(1+D5)/(B7-D5)/(1+B7)^5+DCF!C51+DCF!C52+DCF!C53)*100/ASSUMP!B19)</f>
        <v/>
      </c>
      <c r="E7" s="83">
        <f>IF(E5&gt;=B7,"N/A",(DCF!C27/(1+B7)^1+DCF!D27/(1+B7)^2+DCF!E27/(1+B7)^3+DCF!F27/(1+B7)^4+DCF!G27/(1+B7)^5+DCF!G27*(1+E5)/(B7-E5)/(1+B7)^5+DCF!C51+DCF!C52+DCF!C53)*100/ASSUMP!B19)</f>
        <v/>
      </c>
      <c r="F7" s="83">
        <f>IF(F5&gt;=B7,"N/A",(DCF!C27/(1+B7)^1+DCF!D27/(1+B7)^2+DCF!E27/(1+B7)^3+DCF!F27/(1+B7)^4+DCF!G27/(1+B7)^5+DCF!G27*(1+F5)/(B7-F5)/(1+B7)^5+DCF!C51+DCF!C52+DCF!C53)*100/ASSUMP!B19)</f>
        <v/>
      </c>
      <c r="G7" s="83">
        <f>IF(G5&gt;=B7,"N/A",(DCF!C27/(1+B7)^1+DCF!D27/(1+B7)^2+DCF!E27/(1+B7)^3+DCF!F27/(1+B7)^4+DCF!G27/(1+B7)^5+DCF!G27*(1+G5)/(B7-G5)/(1+B7)^5+DCF!C51+DCF!C52+DCF!C53)*100/ASSUMP!B19)</f>
        <v/>
      </c>
      <c r="H7" s="83">
        <f>IF(H5&gt;=B7,"N/A",(DCF!C27/(1+B7)^1+DCF!D27/(1+B7)^2+DCF!E27/(1+B7)^3+DCF!F27/(1+B7)^4+DCF!G27/(1+B7)^5+DCF!G27*(1+H5)/(B7-H5)/(1+B7)^5+DCF!C51+DCF!C52+DCF!C53)*100/ASSUMP!B19)</f>
        <v/>
      </c>
      <c r="I7" s="83">
        <f>IF(I5&gt;=B7,"N/A",(DCF!C27/(1+B7)^1+DCF!D27/(1+B7)^2+DCF!E27/(1+B7)^3+DCF!F27/(1+B7)^4+DCF!G27/(1+B7)^5+DCF!G27*(1+I5)/(B7-I5)/(1+B7)^5+DCF!C51+DCF!C52+DCF!C53)*100/ASSUMP!B19)</f>
        <v/>
      </c>
    </row>
    <row r="8">
      <c r="B8" s="81" t="n">
        <v>0.13</v>
      </c>
      <c r="C8" s="82">
        <f>IF(C5&gt;=B8,"N/A",(DCF!C27/(1+B8)^1+DCF!D27/(1+B8)^2+DCF!E27/(1+B8)^3+DCF!F27/(1+B8)^4+DCF!G27/(1+B8)^5+DCF!G27*(1+C5)/(B8-C5)/(1+B8)^5+DCF!C51+DCF!C52+DCF!C53)*100/ASSUMP!B19)</f>
        <v/>
      </c>
      <c r="D8" s="82">
        <f>IF(D5&gt;=B8,"N/A",(DCF!C27/(1+B8)^1+DCF!D27/(1+B8)^2+DCF!E27/(1+B8)^3+DCF!F27/(1+B8)^4+DCF!G27/(1+B8)^5+DCF!G27*(1+D5)/(B8-D5)/(1+B8)^5+DCF!C51+DCF!C52+DCF!C53)*100/ASSUMP!B19)</f>
        <v/>
      </c>
      <c r="E8" s="82">
        <f>IF(E5&gt;=B8,"N/A",(DCF!C27/(1+B8)^1+DCF!D27/(1+B8)^2+DCF!E27/(1+B8)^3+DCF!F27/(1+B8)^4+DCF!G27/(1+B8)^5+DCF!G27*(1+E5)/(B8-E5)/(1+B8)^5+DCF!C51+DCF!C52+DCF!C53)*100/ASSUMP!B19)</f>
        <v/>
      </c>
      <c r="F8" s="82">
        <f>IF(F5&gt;=B8,"N/A",(DCF!C27/(1+B8)^1+DCF!D27/(1+B8)^2+DCF!E27/(1+B8)^3+DCF!F27/(1+B8)^4+DCF!G27/(1+B8)^5+DCF!G27*(1+F5)/(B8-F5)/(1+B8)^5+DCF!C51+DCF!C52+DCF!C53)*100/ASSUMP!B19)</f>
        <v/>
      </c>
      <c r="G8" s="82">
        <f>IF(G5&gt;=B8,"N/A",(DCF!C27/(1+B8)^1+DCF!D27/(1+B8)^2+DCF!E27/(1+B8)^3+DCF!F27/(1+B8)^4+DCF!G27/(1+B8)^5+DCF!G27*(1+G5)/(B8-G5)/(1+B8)^5+DCF!C51+DCF!C52+DCF!C53)*100/ASSUMP!B19)</f>
        <v/>
      </c>
      <c r="H8" s="82">
        <f>IF(H5&gt;=B8,"N/A",(DCF!C27/(1+B8)^1+DCF!D27/(1+B8)^2+DCF!E27/(1+B8)^3+DCF!F27/(1+B8)^4+DCF!G27/(1+B8)^5+DCF!G27*(1+H5)/(B8-H5)/(1+B8)^5+DCF!C51+DCF!C52+DCF!C53)*100/ASSUMP!B19)</f>
        <v/>
      </c>
      <c r="I8" s="82">
        <f>IF(I5&gt;=B8,"N/A",(DCF!C27/(1+B8)^1+DCF!D27/(1+B8)^2+DCF!E27/(1+B8)^3+DCF!F27/(1+B8)^4+DCF!G27/(1+B8)^5+DCF!G27*(1+I5)/(B8-I5)/(1+B8)^5+DCF!C51+DCF!C52+DCF!C53)*100/ASSUMP!B19)</f>
        <v/>
      </c>
    </row>
    <row r="9">
      <c r="B9" s="81" t="n">
        <v>0.136</v>
      </c>
      <c r="C9" s="83">
        <f>IF(C5&gt;=B9,"N/A",(DCF!C27/(1+B9)^1+DCF!D27/(1+B9)^2+DCF!E27/(1+B9)^3+DCF!F27/(1+B9)^4+DCF!G27/(1+B9)^5+DCF!G27*(1+C5)/(B9-C5)/(1+B9)^5+DCF!C51+DCF!C52+DCF!C53)*100/ASSUMP!B19)</f>
        <v/>
      </c>
      <c r="D9" s="83">
        <f>IF(D5&gt;=B9,"N/A",(DCF!C27/(1+B9)^1+DCF!D27/(1+B9)^2+DCF!E27/(1+B9)^3+DCF!F27/(1+B9)^4+DCF!G27/(1+B9)^5+DCF!G27*(1+D5)/(B9-D5)/(1+B9)^5+DCF!C51+DCF!C52+DCF!C53)*100/ASSUMP!B19)</f>
        <v/>
      </c>
      <c r="E9" s="83">
        <f>IF(E5&gt;=B9,"N/A",(DCF!C27/(1+B9)^1+DCF!D27/(1+B9)^2+DCF!E27/(1+B9)^3+DCF!F27/(1+B9)^4+DCF!G27/(1+B9)^5+DCF!G27*(1+E5)/(B9-E5)/(1+B9)^5+DCF!C51+DCF!C52+DCF!C53)*100/ASSUMP!B19)</f>
        <v/>
      </c>
      <c r="F9" s="84">
        <f>IF(F5&gt;=B9,"N/A",(DCF!C27/(1+B9)^1+DCF!D27/(1+B9)^2+DCF!E27/(1+B9)^3+DCF!F27/(1+B9)^4+DCF!G27/(1+B9)^5+DCF!G27*(1+F5)/(B9-F5)/(1+B9)^5+DCF!C51+DCF!C52+DCF!C53)*100/ASSUMP!B19)</f>
        <v/>
      </c>
      <c r="G9" s="83">
        <f>IF(G5&gt;=B9,"N/A",(DCF!C27/(1+B9)^1+DCF!D27/(1+B9)^2+DCF!E27/(1+B9)^3+DCF!F27/(1+B9)^4+DCF!G27/(1+B9)^5+DCF!G27*(1+G5)/(B9-G5)/(1+B9)^5+DCF!C51+DCF!C52+DCF!C53)*100/ASSUMP!B19)</f>
        <v/>
      </c>
      <c r="H9" s="83">
        <f>IF(H5&gt;=B9,"N/A",(DCF!C27/(1+B9)^1+DCF!D27/(1+B9)^2+DCF!E27/(1+B9)^3+DCF!F27/(1+B9)^4+DCF!G27/(1+B9)^5+DCF!G27*(1+H5)/(B9-H5)/(1+B9)^5+DCF!C51+DCF!C52+DCF!C53)*100/ASSUMP!B19)</f>
        <v/>
      </c>
      <c r="I9" s="83">
        <f>IF(I5&gt;=B9,"N/A",(DCF!C27/(1+B9)^1+DCF!D27/(1+B9)^2+DCF!E27/(1+B9)^3+DCF!F27/(1+B9)^4+DCF!G27/(1+B9)^5+DCF!G27*(1+I5)/(B9-I5)/(1+B9)^5+DCF!C51+DCF!C52+DCF!C53)*100/ASSUMP!B19)</f>
        <v/>
      </c>
    </row>
    <row r="10">
      <c r="B10" s="81" t="n">
        <v>0.14</v>
      </c>
      <c r="C10" s="82">
        <f>IF(C5&gt;=B10,"N/A",(DCF!C27/(1+B10)^1+DCF!D27/(1+B10)^2+DCF!E27/(1+B10)^3+DCF!F27/(1+B10)^4+DCF!G27/(1+B10)^5+DCF!G27*(1+C5)/(B10-C5)/(1+B10)^5+DCF!C51+DCF!C52+DCF!C53)*100/ASSUMP!B19)</f>
        <v/>
      </c>
      <c r="D10" s="82">
        <f>IF(D5&gt;=B10,"N/A",(DCF!C27/(1+B10)^1+DCF!D27/(1+B10)^2+DCF!E27/(1+B10)^3+DCF!F27/(1+B10)^4+DCF!G27/(1+B10)^5+DCF!G27*(1+D5)/(B10-D5)/(1+B10)^5+DCF!C51+DCF!C52+DCF!C53)*100/ASSUMP!B19)</f>
        <v/>
      </c>
      <c r="E10" s="82">
        <f>IF(E5&gt;=B10,"N/A",(DCF!C27/(1+B10)^1+DCF!D27/(1+B10)^2+DCF!E27/(1+B10)^3+DCF!F27/(1+B10)^4+DCF!G27/(1+B10)^5+DCF!G27*(1+E5)/(B10-E5)/(1+B10)^5+DCF!C51+DCF!C52+DCF!C53)*100/ASSUMP!B19)</f>
        <v/>
      </c>
      <c r="F10" s="82">
        <f>IF(F5&gt;=B10,"N/A",(DCF!C27/(1+B10)^1+DCF!D27/(1+B10)^2+DCF!E27/(1+B10)^3+DCF!F27/(1+B10)^4+DCF!G27/(1+B10)^5+DCF!G27*(1+F5)/(B10-F5)/(1+B10)^5+DCF!C51+DCF!C52+DCF!C53)*100/ASSUMP!B19)</f>
        <v/>
      </c>
      <c r="G10" s="82">
        <f>IF(G5&gt;=B10,"N/A",(DCF!C27/(1+B10)^1+DCF!D27/(1+B10)^2+DCF!E27/(1+B10)^3+DCF!F27/(1+B10)^4+DCF!G27/(1+B10)^5+DCF!G27*(1+G5)/(B10-G5)/(1+B10)^5+DCF!C51+DCF!C52+DCF!C53)*100/ASSUMP!B19)</f>
        <v/>
      </c>
      <c r="H10" s="82">
        <f>IF(H5&gt;=B10,"N/A",(DCF!C27/(1+B10)^1+DCF!D27/(1+B10)^2+DCF!E27/(1+B10)^3+DCF!F27/(1+B10)^4+DCF!G27/(1+B10)^5+DCF!G27*(1+H5)/(B10-H5)/(1+B10)^5+DCF!C51+DCF!C52+DCF!C53)*100/ASSUMP!B19)</f>
        <v/>
      </c>
      <c r="I10" s="82">
        <f>IF(I5&gt;=B10,"N/A",(DCF!C27/(1+B10)^1+DCF!D27/(1+B10)^2+DCF!E27/(1+B10)^3+DCF!F27/(1+B10)^4+DCF!G27/(1+B10)^5+DCF!G27*(1+I5)/(B10-I5)/(1+B10)^5+DCF!C51+DCF!C52+DCF!C53)*100/ASSUMP!B19)</f>
        <v/>
      </c>
    </row>
    <row r="11">
      <c r="B11" s="81" t="n">
        <v>0.15</v>
      </c>
      <c r="C11" s="83">
        <f>IF(C5&gt;=B11,"N/A",(DCF!C27/(1+B11)^1+DCF!D27/(1+B11)^2+DCF!E27/(1+B11)^3+DCF!F27/(1+B11)^4+DCF!G27/(1+B11)^5+DCF!G27*(1+C5)/(B11-C5)/(1+B11)^5+DCF!C51+DCF!C52+DCF!C53)*100/ASSUMP!B19)</f>
        <v/>
      </c>
      <c r="D11" s="83">
        <f>IF(D5&gt;=B11,"N/A",(DCF!C27/(1+B11)^1+DCF!D27/(1+B11)^2+DCF!E27/(1+B11)^3+DCF!F27/(1+B11)^4+DCF!G27/(1+B11)^5+DCF!G27*(1+D5)/(B11-D5)/(1+B11)^5+DCF!C51+DCF!C52+DCF!C53)*100/ASSUMP!B19)</f>
        <v/>
      </c>
      <c r="E11" s="83">
        <f>IF(E5&gt;=B11,"N/A",(DCF!C27/(1+B11)^1+DCF!D27/(1+B11)^2+DCF!E27/(1+B11)^3+DCF!F27/(1+B11)^4+DCF!G27/(1+B11)^5+DCF!G27*(1+E5)/(B11-E5)/(1+B11)^5+DCF!C51+DCF!C52+DCF!C53)*100/ASSUMP!B19)</f>
        <v/>
      </c>
      <c r="F11" s="83">
        <f>IF(F5&gt;=B11,"N/A",(DCF!C27/(1+B11)^1+DCF!D27/(1+B11)^2+DCF!E27/(1+B11)^3+DCF!F27/(1+B11)^4+DCF!G27/(1+B11)^5+DCF!G27*(1+F5)/(B11-F5)/(1+B11)^5+DCF!C51+DCF!C52+DCF!C53)*100/ASSUMP!B19)</f>
        <v/>
      </c>
      <c r="G11" s="83">
        <f>IF(G5&gt;=B11,"N/A",(DCF!C27/(1+B11)^1+DCF!D27/(1+B11)^2+DCF!E27/(1+B11)^3+DCF!F27/(1+B11)^4+DCF!G27/(1+B11)^5+DCF!G27*(1+G5)/(B11-G5)/(1+B11)^5+DCF!C51+DCF!C52+DCF!C53)*100/ASSUMP!B19)</f>
        <v/>
      </c>
      <c r="H11" s="83">
        <f>IF(H5&gt;=B11,"N/A",(DCF!C27/(1+B11)^1+DCF!D27/(1+B11)^2+DCF!E27/(1+B11)^3+DCF!F27/(1+B11)^4+DCF!G27/(1+B11)^5+DCF!G27*(1+H5)/(B11-H5)/(1+B11)^5+DCF!C51+DCF!C52+DCF!C53)*100/ASSUMP!B19)</f>
        <v/>
      </c>
      <c r="I11" s="83">
        <f>IF(I5&gt;=B11,"N/A",(DCF!C27/(1+B11)^1+DCF!D27/(1+B11)^2+DCF!E27/(1+B11)^3+DCF!F27/(1+B11)^4+DCF!G27/(1+B11)^5+DCF!G27*(1+I5)/(B11-I5)/(1+B11)^5+DCF!C51+DCF!C52+DCF!C53)*100/ASSUMP!B19)</f>
        <v/>
      </c>
    </row>
    <row r="12">
      <c r="B12" s="81" t="n">
        <v>0.16</v>
      </c>
      <c r="C12" s="82">
        <f>IF(C5&gt;=B12,"N/A",(DCF!C27/(1+B12)^1+DCF!D27/(1+B12)^2+DCF!E27/(1+B12)^3+DCF!F27/(1+B12)^4+DCF!G27/(1+B12)^5+DCF!G27*(1+C5)/(B12-C5)/(1+B12)^5+DCF!C51+DCF!C52+DCF!C53)*100/ASSUMP!B19)</f>
        <v/>
      </c>
      <c r="D12" s="82">
        <f>IF(D5&gt;=B12,"N/A",(DCF!C27/(1+B12)^1+DCF!D27/(1+B12)^2+DCF!E27/(1+B12)^3+DCF!F27/(1+B12)^4+DCF!G27/(1+B12)^5+DCF!G27*(1+D5)/(B12-D5)/(1+B12)^5+DCF!C51+DCF!C52+DCF!C53)*100/ASSUMP!B19)</f>
        <v/>
      </c>
      <c r="E12" s="82">
        <f>IF(E5&gt;=B12,"N/A",(DCF!C27/(1+B12)^1+DCF!D27/(1+B12)^2+DCF!E27/(1+B12)^3+DCF!F27/(1+B12)^4+DCF!G27/(1+B12)^5+DCF!G27*(1+E5)/(B12-E5)/(1+B12)^5+DCF!C51+DCF!C52+DCF!C53)*100/ASSUMP!B19)</f>
        <v/>
      </c>
      <c r="F12" s="82">
        <f>IF(F5&gt;=B12,"N/A",(DCF!C27/(1+B12)^1+DCF!D27/(1+B12)^2+DCF!E27/(1+B12)^3+DCF!F27/(1+B12)^4+DCF!G27/(1+B12)^5+DCF!G27*(1+F5)/(B12-F5)/(1+B12)^5+DCF!C51+DCF!C52+DCF!C53)*100/ASSUMP!B19)</f>
        <v/>
      </c>
      <c r="G12" s="82">
        <f>IF(G5&gt;=B12,"N/A",(DCF!C27/(1+B12)^1+DCF!D27/(1+B12)^2+DCF!E27/(1+B12)^3+DCF!F27/(1+B12)^4+DCF!G27/(1+B12)^5+DCF!G27*(1+G5)/(B12-G5)/(1+B12)^5+DCF!C51+DCF!C52+DCF!C53)*100/ASSUMP!B19)</f>
        <v/>
      </c>
      <c r="H12" s="82">
        <f>IF(H5&gt;=B12,"N/A",(DCF!C27/(1+B12)^1+DCF!D27/(1+B12)^2+DCF!E27/(1+B12)^3+DCF!F27/(1+B12)^4+DCF!G27/(1+B12)^5+DCF!G27*(1+H5)/(B12-H5)/(1+B12)^5+DCF!C51+DCF!C52+DCF!C53)*100/ASSUMP!B19)</f>
        <v/>
      </c>
      <c r="I12" s="82">
        <f>IF(I5&gt;=B12,"N/A",(DCF!C27/(1+B12)^1+DCF!D27/(1+B12)^2+DCF!E27/(1+B12)^3+DCF!F27/(1+B12)^4+DCF!G27/(1+B12)^5+DCF!G27*(1+I5)/(B12-I5)/(1+B12)^5+DCF!C51+DCF!C52+DCF!C53)*100/ASSUMP!B19)</f>
        <v/>
      </c>
    </row>
    <row r="14" ht="8" customHeight="1"/>
    <row r="15">
      <c r="B15" s="23" t="inlineStr">
        <is>
          <t>★  Yellow cell = Base Case (WACC=13.6%, TGR=5.5%).  N/A = mathematically undefined when TGR ≥ WACC (Gordon Growth Model constraint).</t>
        </is>
      </c>
    </row>
  </sheetData>
  <mergeCells count="3">
    <mergeCell ref="B15:J15"/>
    <mergeCell ref="A1:J1"/>
    <mergeCell ref="B3:J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0" customHeight="1">
      <c r="A1" s="24" t="inlineStr">
        <is>
          <t xml:space="preserve">  DIXON TECHNOLOGIES — PEER COMPARABLES  |  EMS / Electronics Manufacturing India  (FY25A, ₹ Cr)</t>
        </is>
      </c>
    </row>
    <row r="3">
      <c r="A3" s="23" t="inlineStr">
        <is>
          <t>Sources: BSE/NSE filings, Screener.in, Trendlyne  |  Market cap as of June 2026 (approx.)  |  All figures in ₹ Crore unless stated</t>
        </is>
      </c>
    </row>
    <row r="5">
      <c r="A5" s="10" t="inlineStr">
        <is>
          <t>Company</t>
        </is>
      </c>
      <c r="B5" s="10" t="inlineStr">
        <is>
          <t>Revenue</t>
        </is>
      </c>
      <c r="C5" s="10" t="inlineStr">
        <is>
          <t>EBITDA</t>
        </is>
      </c>
      <c r="D5" s="10" t="inlineStr">
        <is>
          <t>EBITDA %</t>
        </is>
      </c>
      <c r="E5" s="10" t="inlineStr">
        <is>
          <t>PAT</t>
        </is>
      </c>
      <c r="F5" s="10" t="inlineStr">
        <is>
          <t>Mkt Cap</t>
        </is>
      </c>
      <c r="G5" s="10" t="inlineStr">
        <is>
          <t>Net Debt</t>
        </is>
      </c>
      <c r="H5" s="10" t="inlineStr">
        <is>
          <t>EV</t>
        </is>
      </c>
      <c r="I5" s="10" t="inlineStr">
        <is>
          <t>EV/EBITDA</t>
        </is>
      </c>
      <c r="J5" s="10" t="inlineStr">
        <is>
          <t>P/E</t>
        </is>
      </c>
    </row>
    <row r="6">
      <c r="A6" s="71" t="inlineStr">
        <is>
          <t>Dixon Technologies</t>
        </is>
      </c>
      <c r="B6" s="85" t="n">
        <v>38860</v>
      </c>
      <c r="C6" s="85" t="n">
        <v>1943</v>
      </c>
      <c r="D6" s="86" t="n">
        <v>0.05</v>
      </c>
      <c r="E6" s="85" t="n">
        <v>1215</v>
      </c>
      <c r="F6" s="85" t="n">
        <v>75000</v>
      </c>
      <c r="G6" s="85" t="n">
        <v>200</v>
      </c>
      <c r="H6" s="85" t="n">
        <v>75200</v>
      </c>
      <c r="I6" s="87" t="n">
        <v>38.7</v>
      </c>
      <c r="J6" s="87" t="n">
        <v>61.7</v>
      </c>
    </row>
    <row r="7">
      <c r="A7" s="7" t="inlineStr">
        <is>
          <t>Amber Enterprises</t>
        </is>
      </c>
      <c r="B7" s="40" t="n">
        <v>5200</v>
      </c>
      <c r="C7" s="40" t="n">
        <v>442</v>
      </c>
      <c r="D7" s="88" t="n">
        <v>0.08500000000000001</v>
      </c>
      <c r="E7" s="40" t="n">
        <v>148</v>
      </c>
      <c r="F7" s="40" t="n">
        <v>20000</v>
      </c>
      <c r="G7" s="40" t="n">
        <v>600</v>
      </c>
      <c r="H7" s="40" t="n">
        <v>20600</v>
      </c>
      <c r="I7" s="89" t="n">
        <v>46.6</v>
      </c>
      <c r="J7" s="89" t="n">
        <v>135</v>
      </c>
    </row>
    <row r="8">
      <c r="A8" s="4" t="inlineStr">
        <is>
          <t>Kaynes Technology</t>
        </is>
      </c>
      <c r="B8" s="37" t="n">
        <v>1800</v>
      </c>
      <c r="C8" s="37" t="n">
        <v>270</v>
      </c>
      <c r="D8" s="90" t="n">
        <v>0.15</v>
      </c>
      <c r="E8" s="37" t="n">
        <v>175</v>
      </c>
      <c r="F8" s="37" t="n">
        <v>14000</v>
      </c>
      <c r="G8" s="37" t="n">
        <v>150</v>
      </c>
      <c r="H8" s="37" t="n">
        <v>14150</v>
      </c>
      <c r="I8" s="91" t="n">
        <v>52.4</v>
      </c>
      <c r="J8" s="91" t="n">
        <v>80</v>
      </c>
    </row>
    <row r="9">
      <c r="A9" s="7" t="inlineStr">
        <is>
          <t>Syrma SGS Technology</t>
        </is>
      </c>
      <c r="B9" s="40" t="n">
        <v>2800</v>
      </c>
      <c r="C9" s="40" t="n">
        <v>196</v>
      </c>
      <c r="D9" s="88" t="n">
        <v>0.07000000000000001</v>
      </c>
      <c r="E9" s="40" t="n">
        <v>100</v>
      </c>
      <c r="F9" s="40" t="n">
        <v>6500</v>
      </c>
      <c r="G9" s="40" t="n">
        <v>350</v>
      </c>
      <c r="H9" s="40" t="n">
        <v>6850</v>
      </c>
      <c r="I9" s="89" t="n">
        <v>34.9</v>
      </c>
      <c r="J9" s="89" t="n">
        <v>65</v>
      </c>
    </row>
    <row r="10" ht="6" customHeight="1"/>
    <row r="11">
      <c r="A11" s="92" t="inlineStr">
        <is>
          <t>Peer Median  (ex-Dixon)</t>
        </is>
      </c>
      <c r="B11" s="57">
        <f>MEDIAN(B7:B9)</f>
        <v/>
      </c>
      <c r="C11" s="57">
        <f>MEDIAN(C7:C9)</f>
        <v/>
      </c>
      <c r="D11" s="93">
        <f>MEDIAN(D7:D9)</f>
        <v/>
      </c>
      <c r="E11" s="57">
        <f>MEDIAN(E7:E9)</f>
        <v/>
      </c>
      <c r="F11" s="57">
        <f>MEDIAN(F7:F9)</f>
        <v/>
      </c>
      <c r="G11" s="57">
        <f>MEDIAN(G7:G9)</f>
        <v/>
      </c>
      <c r="H11" s="57">
        <f>MEDIAN(H7:H9)</f>
        <v/>
      </c>
      <c r="I11" s="94">
        <f>MEDIAN(I7:I9)</f>
        <v/>
      </c>
      <c r="J11" s="94">
        <f>MEDIAN(J7:J9)</f>
        <v/>
      </c>
    </row>
    <row r="12">
      <c r="A12" s="16" t="inlineStr">
        <is>
          <t>Peer Mean   (ex-Dixon)</t>
        </is>
      </c>
      <c r="B12" s="95">
        <f>AVERAGE(B7:B9)</f>
        <v/>
      </c>
      <c r="C12" s="95">
        <f>AVERAGE(C7:C9)</f>
        <v/>
      </c>
      <c r="D12" s="96">
        <f>AVERAGE(D7:D9)</f>
        <v/>
      </c>
      <c r="E12" s="95">
        <f>AVERAGE(E7:E9)</f>
        <v/>
      </c>
      <c r="F12" s="95">
        <f>AVERAGE(F7:F9)</f>
        <v/>
      </c>
      <c r="G12" s="95">
        <f>AVERAGE(G7:G9)</f>
        <v/>
      </c>
      <c r="H12" s="95">
        <f>AVERAGE(H7:H9)</f>
        <v/>
      </c>
      <c r="I12" s="97">
        <f>AVERAGE(I7:I9)</f>
        <v/>
      </c>
      <c r="J12" s="97">
        <f>AVERAGE(J7:J9)</f>
        <v/>
      </c>
    </row>
    <row r="14" ht="6" customHeight="1"/>
    <row r="15" ht="16" customHeight="1">
      <c r="A15" s="25" t="inlineStr">
        <is>
          <t xml:space="preserve">  POSITIONING ANALYSIS</t>
        </is>
      </c>
    </row>
    <row r="16">
      <c r="A16" s="16" t="inlineStr">
        <is>
          <t>► Dixon's EBITDA margin (5.0%) is below EMS peers due to high mobile (low-margin) revenue mix — Kaynes (15%) is PCBA-focused (higher value-add)</t>
        </is>
      </c>
    </row>
    <row r="17">
      <c r="A17" s="18" t="inlineStr">
        <is>
          <t>► Dixon trades at 38.7x EV/EBITDA vs. peer median ~46-52x, suggesting relative value or market pricing in lower margin profile</t>
        </is>
      </c>
    </row>
    <row r="18">
      <c r="A18" s="16" t="inlineStr">
        <is>
          <t>► Kaynes &amp; Amber have better margins but much smaller scale — Dixon is the only large-cap pure EMS play in India</t>
        </is>
      </c>
    </row>
    <row r="19">
      <c r="A19" s="18" t="inlineStr">
        <is>
          <t>► China+1, PLI scheme benefits, and new category wins (IT hardware, wearables) are key re-rating catalysts for Dixon</t>
        </is>
      </c>
    </row>
    <row r="20">
      <c r="A20" s="16" t="inlineStr">
        <is>
          <t>► Key risk: margin compression if mobile mix rises further; PLI scheme sunset risk post FY27</t>
        </is>
      </c>
    </row>
  </sheetData>
  <mergeCells count="8">
    <mergeCell ref="A1:J1"/>
    <mergeCell ref="A17:J17"/>
    <mergeCell ref="A18:J18"/>
    <mergeCell ref="A3:J3"/>
    <mergeCell ref="A15:J15"/>
    <mergeCell ref="A20:J20"/>
    <mergeCell ref="A16:J16"/>
    <mergeCell ref="A19:J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2026-06-19T20:20:27Z</dcterms:created>
  <dcterms:modified xmlns:dcterms="http://purl.org/dc/terms/" xmlns:xsi="http://www.w3.org/2001/XMLSchema-instance" xsi:type="dcterms:W3CDTF">2026-06-19T20:20:27Z</dcterms:modified>
</cp:coreProperties>
</file>