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OM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₹#,##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BDD7EE"/>
      <sz val="13"/>
    </font>
    <font>
      <name val="Calibri"/>
      <color rgb="009DC3E6"/>
      <sz val="10"/>
    </font>
    <font>
      <name val="Calibri"/>
      <b val="1"/>
      <color rgb="002E75B6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0070C0"/>
      <sz val="9"/>
    </font>
    <font>
      <name val="Calibri"/>
      <b val="1"/>
      <color rgb="00000000"/>
      <sz val="9"/>
    </font>
    <font>
      <name val="Calibri"/>
      <b val="1"/>
      <color rgb="00007030"/>
      <sz val="9"/>
    </font>
    <font>
      <name val="Calibri"/>
      <b val="1"/>
      <color rgb="00D9D9D9"/>
      <sz val="9"/>
    </font>
    <font>
      <name val="Calibri"/>
      <i val="1"/>
      <color rgb="00808080"/>
      <sz val="8"/>
    </font>
    <font>
      <name val="Calibri"/>
      <b val="1"/>
      <color rgb="00FFFFFF"/>
      <sz val="13"/>
    </font>
    <font>
      <name val="Calibri"/>
      <color rgb="00000000"/>
      <sz val="9"/>
    </font>
    <font>
      <name val="Calibri"/>
      <color rgb="000070C0"/>
      <sz val="9"/>
    </font>
    <font>
      <name val="Calibri"/>
      <color rgb="00808080"/>
      <sz val="8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7030"/>
      <sz val="9"/>
    </font>
    <font>
      <name val="Calibri"/>
      <i val="1"/>
      <color rgb="00000000"/>
      <sz val="10"/>
    </font>
    <font>
      <name val="Calibri"/>
      <i val="1"/>
      <color rgb="00000000"/>
      <sz val="9"/>
    </font>
    <font>
      <name val="Calibri"/>
      <b val="1"/>
      <sz val="9"/>
    </font>
    <font>
      <name val="Calibri"/>
      <b val="1"/>
      <sz val="10"/>
    </font>
    <font>
      <name val="Calibri"/>
      <b val="1"/>
      <sz val="12"/>
    </font>
    <font>
      <name val="Calibri"/>
      <b val="1"/>
      <color rgb="00C00000"/>
      <sz val="14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538135"/>
      </patternFill>
    </fill>
    <fill>
      <patternFill patternType="solid">
        <fgColor rgb="000070C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4" fontId="16" fillId="4" borderId="0" applyAlignment="1" pivotButton="0" quotePrefix="0" xfId="0">
      <alignment horizontal="right" vertical="center"/>
    </xf>
    <xf numFmtId="0" fontId="13" fillId="0" borderId="0" pivotButton="0" quotePrefix="0" xfId="0"/>
    <xf numFmtId="0" fontId="17" fillId="0" borderId="0" pivotButton="0" quotePrefix="0" xfId="0"/>
    <xf numFmtId="165" fontId="16" fillId="4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3" fontId="16" fillId="4" borderId="0" applyAlignment="1" pivotButton="0" quotePrefix="0" xfId="0">
      <alignment horizontal="right" vertical="center"/>
    </xf>
    <xf numFmtId="4" fontId="16" fillId="4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right" vertical="center"/>
    </xf>
    <xf numFmtId="10" fontId="10" fillId="0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left" vertical="center"/>
    </xf>
    <xf numFmtId="0" fontId="7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164" fontId="20" fillId="7" borderId="1" applyAlignment="1" pivotButton="0" quotePrefix="0" xfId="0">
      <alignment horizontal="right" vertical="center"/>
    </xf>
    <xf numFmtId="3" fontId="16" fillId="6" borderId="1" applyAlignment="1" pivotButton="0" quotePrefix="0" xfId="0">
      <alignment horizontal="right" vertical="center"/>
    </xf>
    <xf numFmtId="3" fontId="15" fillId="7" borderId="1" applyAlignment="1" pivotButton="0" quotePrefix="0" xfId="0">
      <alignment horizontal="right" vertical="center"/>
    </xf>
    <xf numFmtId="3" fontId="15" fillId="6" borderId="1" applyAlignment="1" pivotButton="0" quotePrefix="0" xfId="0">
      <alignment horizontal="right" vertical="center"/>
    </xf>
    <xf numFmtId="3" fontId="20" fillId="7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3" fontId="11" fillId="8" borderId="1" applyAlignment="1" pivotButton="0" quotePrefix="0" xfId="0">
      <alignment horizontal="right" vertical="center"/>
    </xf>
    <xf numFmtId="164" fontId="15" fillId="7" borderId="1" applyAlignment="1" pivotButton="0" quotePrefix="0" xfId="0">
      <alignment horizontal="right" vertical="center"/>
    </xf>
    <xf numFmtId="4" fontId="16" fillId="6" borderId="1" applyAlignment="1" pivotButton="0" quotePrefix="0" xfId="0">
      <alignment horizontal="right" vertical="center"/>
    </xf>
    <xf numFmtId="4" fontId="20" fillId="7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/>
    </xf>
    <xf numFmtId="3" fontId="22" fillId="0" borderId="1" applyAlignment="1" pivotButton="0" quotePrefix="0" xfId="0">
      <alignment horizontal="right" vertical="center"/>
    </xf>
    <xf numFmtId="0" fontId="18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3" fontId="10" fillId="10" borderId="2" applyAlignment="1" pivotButton="0" quotePrefix="0" xfId="0">
      <alignment horizontal="right" vertical="center"/>
    </xf>
    <xf numFmtId="0" fontId="18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23" fillId="0" borderId="0" pivotButton="0" quotePrefix="0" xfId="0"/>
    <xf numFmtId="10" fontId="11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3" fontId="20" fillId="0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3" fontId="11" fillId="0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5" fillId="0" borderId="1" applyAlignment="1" pivotButton="0" quotePrefix="0" xfId="0">
      <alignment horizontal="right" vertical="center"/>
    </xf>
    <xf numFmtId="3" fontId="15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3" fontId="19" fillId="8" borderId="2" applyAlignment="1" pivotButton="0" quotePrefix="0" xfId="0">
      <alignment horizontal="right" vertical="center"/>
    </xf>
    <xf numFmtId="165" fontId="20" fillId="0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166" fontId="26" fillId="7" borderId="2" applyAlignment="1" pivotButton="0" quotePrefix="0" xfId="0">
      <alignment horizontal="right" vertical="center"/>
    </xf>
    <xf numFmtId="166" fontId="16" fillId="4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8" fillId="13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center" vertical="center"/>
    </xf>
    <xf numFmtId="166" fontId="8" fillId="10" borderId="1" applyAlignment="1" pivotButton="0" quotePrefix="0" xfId="0">
      <alignment horizontal="right" vertical="center"/>
    </xf>
    <xf numFmtId="166" fontId="23" fillId="7" borderId="1" applyAlignment="1" pivotButton="0" quotePrefix="0" xfId="0">
      <alignment horizontal="right" vertical="center"/>
    </xf>
    <xf numFmtId="0" fontId="18" fillId="14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36" customHeight="1">
      <c r="B2" s="1" t="inlineStr">
        <is>
          <t>DIXON TECHNOLOGIES (INDIA) LTD.</t>
        </is>
      </c>
    </row>
    <row r="3" ht="22" customHeight="1">
      <c r="B3" s="2" t="inlineStr">
        <is>
          <t>3-Statement Financial Model + FCFF DCF Valuation</t>
        </is>
      </c>
    </row>
    <row r="4" ht="18" customHeight="1">
      <c r="B4" s="3" t="inlineStr">
        <is>
          <t>NSE: DIXON  ·  BSE: 541988  ·  EMS / Electronics Manufacturing Services</t>
        </is>
      </c>
    </row>
    <row r="5" ht="8" customHeight="1"/>
    <row r="6">
      <c r="B6" s="4" t="inlineStr">
        <is>
          <t>Analyst</t>
        </is>
      </c>
      <c r="C6" s="5" t="inlineStr">
        <is>
          <t>Om Chaudhari — IIT Bombay, B.Tech (Year 2)</t>
        </is>
      </c>
    </row>
    <row r="7">
      <c r="B7" s="4" t="inlineStr">
        <is>
          <t>Project</t>
        </is>
      </c>
      <c r="C7" s="5" t="inlineStr">
        <is>
          <t>WiDS 5.0 Financial Modelling Bootcamp</t>
        </is>
      </c>
    </row>
    <row r="8">
      <c r="B8" s="4" t="inlineStr">
        <is>
          <t>Date</t>
        </is>
      </c>
      <c r="C8" s="5" t="inlineStr">
        <is>
          <t>June 2026</t>
        </is>
      </c>
    </row>
    <row r="9">
      <c r="B9" s="4" t="inlineStr">
        <is>
          <t>Model Version</t>
        </is>
      </c>
      <c r="C9" s="5" t="inlineStr">
        <is>
          <t>v3.0 — Fully Integrated, Single Source</t>
        </is>
      </c>
    </row>
    <row r="10">
      <c r="B10" s="4" t="inlineStr">
        <is>
          <t>Data Source</t>
        </is>
      </c>
      <c r="C10" s="5" t="inlineStr">
        <is>
          <t>Screener.in (Consolidated Financials)</t>
        </is>
      </c>
    </row>
    <row r="11">
      <c r="B11" s="4" t="inlineStr">
        <is>
          <t>Historical</t>
        </is>
      </c>
      <c r="C11" s="5" t="inlineStr">
        <is>
          <t>FY21A – FY26A  (6 years)</t>
        </is>
      </c>
    </row>
    <row r="12">
      <c r="B12" s="4" t="inlineStr">
        <is>
          <t>Forecast</t>
        </is>
      </c>
      <c r="C12" s="5" t="inlineStr">
        <is>
          <t>FY27E – FY31E  (5 years explicit period)</t>
        </is>
      </c>
    </row>
    <row r="13">
      <c r="B13" s="4" t="inlineStr">
        <is>
          <t>Currency</t>
        </is>
      </c>
      <c r="C13" s="5" t="inlineStr">
        <is>
          <t>₹ Crore · Indian FY (Apr 1 – Mar 31)</t>
        </is>
      </c>
    </row>
    <row r="14">
      <c r="B14" s="4" t="inlineStr">
        <is>
          <t>Valuation</t>
        </is>
      </c>
      <c r="C14" s="5" t="inlineStr">
        <is>
          <t>FCFF DCF · WACC 13.6% · TGR 5.5%</t>
        </is>
      </c>
    </row>
    <row r="15" ht="8" customHeight="1"/>
    <row r="16">
      <c r="B16" s="6" t="inlineStr">
        <is>
          <t>HISTORICAL SNAPSHOT  (₹ Crore, Screener.in)</t>
        </is>
      </c>
    </row>
    <row r="17">
      <c r="B17" s="7" t="inlineStr"/>
      <c r="C17" s="7" t="inlineStr">
        <is>
          <t>FY21A</t>
        </is>
      </c>
      <c r="D17" s="7" t="inlineStr">
        <is>
          <t>FY22A</t>
        </is>
      </c>
      <c r="E17" s="7" t="inlineStr">
        <is>
          <t>FY23A</t>
        </is>
      </c>
      <c r="F17" s="7" t="inlineStr">
        <is>
          <t>FY24A</t>
        </is>
      </c>
      <c r="G17" s="7" t="inlineStr">
        <is>
          <t>FY25A</t>
        </is>
      </c>
      <c r="H17" s="7" t="inlineStr">
        <is>
          <t>FY26A</t>
        </is>
      </c>
    </row>
    <row r="18">
      <c r="B18" s="8" t="inlineStr">
        <is>
          <t>Revenue</t>
        </is>
      </c>
      <c r="C18" s="9" t="n">
        <v>6448</v>
      </c>
      <c r="D18" s="9" t="n">
        <v>10697</v>
      </c>
      <c r="E18" s="9" t="n">
        <v>12192</v>
      </c>
      <c r="F18" s="9" t="n">
        <v>17691</v>
      </c>
      <c r="G18" s="9" t="n">
        <v>38860</v>
      </c>
      <c r="H18" s="9" t="n">
        <v>48873</v>
      </c>
    </row>
    <row r="19">
      <c r="B19" s="8" t="inlineStr">
        <is>
          <t>EBITDA</t>
        </is>
      </c>
      <c r="C19" s="9" t="n">
        <v>292</v>
      </c>
      <c r="D19" s="9" t="n">
        <v>384</v>
      </c>
      <c r="E19" s="9" t="n">
        <v>519</v>
      </c>
      <c r="F19" s="9" t="n">
        <v>705</v>
      </c>
      <c r="G19" s="9" t="n">
        <v>1515</v>
      </c>
      <c r="H19" s="9" t="n">
        <v>1867</v>
      </c>
    </row>
    <row r="20">
      <c r="B20" s="8" t="inlineStr">
        <is>
          <t>EBITDA %</t>
        </is>
      </c>
      <c r="C20" s="10" t="n">
        <v>0.04528535980148883</v>
      </c>
      <c r="D20" s="10" t="n">
        <v>0.03589791530335608</v>
      </c>
      <c r="E20" s="10" t="n">
        <v>0.04256889763779528</v>
      </c>
      <c r="F20" s="10" t="n">
        <v>0.03985077157876887</v>
      </c>
      <c r="G20" s="10" t="n">
        <v>0.0389861039629439</v>
      </c>
      <c r="H20" s="10" t="n">
        <v>0.03820105170544063</v>
      </c>
    </row>
    <row r="21">
      <c r="B21" s="8" t="inlineStr">
        <is>
          <t>Net Profit</t>
        </is>
      </c>
      <c r="C21" s="9" t="n">
        <v>160</v>
      </c>
      <c r="D21" s="9" t="n">
        <v>190</v>
      </c>
      <c r="E21" s="9" t="n">
        <v>255</v>
      </c>
      <c r="F21" s="9" t="n">
        <v>375</v>
      </c>
      <c r="G21" s="9" t="n">
        <v>1233</v>
      </c>
      <c r="H21" s="9" t="n">
        <v>1644</v>
      </c>
    </row>
    <row r="22">
      <c r="B22" s="8" t="inlineStr">
        <is>
          <t>EPS (₹)</t>
        </is>
      </c>
      <c r="C22" s="11" t="n">
        <v>27.28</v>
      </c>
      <c r="D22" s="11" t="n">
        <v>32.05</v>
      </c>
      <c r="E22" s="11" t="n">
        <v>42.9</v>
      </c>
      <c r="F22" s="11" t="n">
        <v>61.47</v>
      </c>
      <c r="G22" s="11" t="n">
        <v>181.87</v>
      </c>
      <c r="H22" s="11" t="n">
        <v>236.61</v>
      </c>
    </row>
    <row r="24">
      <c r="B24" s="6" t="inlineStr">
        <is>
          <t>COLOUR LEGEND</t>
        </is>
      </c>
    </row>
    <row r="25">
      <c r="B25" s="12" t="inlineStr">
        <is>
          <t>Blue text</t>
        </is>
      </c>
      <c r="C25" s="8" t="inlineStr">
        <is>
          <t>Hardcoded input / assumption</t>
        </is>
      </c>
    </row>
    <row r="26">
      <c r="B26" s="13" t="inlineStr">
        <is>
          <t>Black text</t>
        </is>
      </c>
      <c r="C26" s="8" t="inlineStr">
        <is>
          <t>Excel formula</t>
        </is>
      </c>
    </row>
    <row r="27">
      <c r="B27" s="14" t="inlineStr">
        <is>
          <t>Green text</t>
        </is>
      </c>
      <c r="C27" s="8" t="inlineStr">
        <is>
          <t>Cross-sheet formula link</t>
        </is>
      </c>
    </row>
    <row r="28">
      <c r="B28" s="15" t="inlineStr">
        <is>
          <t>Grey fill</t>
        </is>
      </c>
      <c r="C28" s="8" t="inlineStr">
        <is>
          <t>Subtotal / total row</t>
        </is>
      </c>
    </row>
    <row r="30">
      <c r="B30" s="16" t="inlineStr">
        <is>
          <t>Disclaimer: Academic exercise. Not investment advice. All data from Screener.in public filings.</t>
        </is>
      </c>
    </row>
  </sheetData>
  <mergeCells count="15">
    <mergeCell ref="B3:G3"/>
    <mergeCell ref="B2:G2"/>
    <mergeCell ref="B16:G16"/>
    <mergeCell ref="C7:G7"/>
    <mergeCell ref="B24:G24"/>
    <mergeCell ref="C12:G12"/>
    <mergeCell ref="C6:G6"/>
    <mergeCell ref="C10:G10"/>
    <mergeCell ref="B30:G30"/>
    <mergeCell ref="C11:G11"/>
    <mergeCell ref="B4:G4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I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7" t="inlineStr">
        <is>
          <t>ASSUMPTIONS — Dixon Technologies v3.0</t>
        </is>
      </c>
    </row>
    <row r="2">
      <c r="B2" s="7" t="inlineStr"/>
      <c r="C2" s="7" t="inlineStr">
        <is>
          <t>FY27E</t>
        </is>
      </c>
      <c r="D2" s="7" t="inlineStr">
        <is>
          <t>FY28E</t>
        </is>
      </c>
      <c r="E2" s="7" t="inlineStr">
        <is>
          <t>FY29E</t>
        </is>
      </c>
      <c r="F2" s="7" t="inlineStr">
        <is>
          <t>FY30E</t>
        </is>
      </c>
      <c r="G2" s="7" t="inlineStr">
        <is>
          <t>FY31E</t>
        </is>
      </c>
      <c r="H2" s="7" t="inlineStr">
        <is>
          <t>Notes</t>
        </is>
      </c>
      <c r="I2" s="7" t="inlineStr">
        <is>
          <t>Source</t>
        </is>
      </c>
    </row>
    <row r="3">
      <c r="B3" s="18" t="inlineStr">
        <is>
          <t>INCOME STATEMENT DRIVERS</t>
        </is>
      </c>
    </row>
    <row r="4">
      <c r="B4" s="19" t="inlineStr">
        <is>
          <t>Revenue Growth YoY</t>
        </is>
      </c>
      <c r="C4" s="20" t="n">
        <v>0.22</v>
      </c>
      <c r="D4" s="20" t="n">
        <v>0.2</v>
      </c>
      <c r="E4" s="20" t="n">
        <v>0.18</v>
      </c>
      <c r="F4" s="20" t="n">
        <v>0.16</v>
      </c>
      <c r="G4" s="20" t="n">
        <v>0.14</v>
      </c>
      <c r="H4" s="21" t="inlineStr">
        <is>
          <t>Moderating from +25.8% FY26A</t>
        </is>
      </c>
      <c r="I4" s="22" t="inlineStr">
        <is>
          <t>Company guidance / EMS sector outlook</t>
        </is>
      </c>
    </row>
    <row r="5">
      <c r="B5" s="19" t="inlineStr">
        <is>
          <t>EBITDA Margin (Operating Profit / Sales)</t>
        </is>
      </c>
      <c r="C5" s="20" t="n">
        <v>0.041</v>
      </c>
      <c r="D5" s="20" t="n">
        <v>0.043</v>
      </c>
      <c r="E5" s="20" t="n">
        <v>0.045</v>
      </c>
      <c r="F5" s="20" t="n">
        <v>0.047</v>
      </c>
      <c r="G5" s="20" t="n">
        <v>0.048</v>
      </c>
      <c r="H5" s="21" t="inlineStr">
        <is>
          <t>Screener OP margin 3.9-4.0%; gradual expansion</t>
        </is>
      </c>
      <c r="I5" s="22" t="inlineStr">
        <is>
          <t>Screener.in</t>
        </is>
      </c>
    </row>
    <row r="6">
      <c r="B6" s="19" t="inlineStr">
        <is>
          <t>Other Income as % Revenue</t>
        </is>
      </c>
      <c r="C6" s="20" t="n">
        <v>0.008</v>
      </c>
      <c r="D6" s="20" t="n">
        <v>0.007</v>
      </c>
      <c r="E6" s="20" t="n">
        <v>0.006</v>
      </c>
      <c r="F6" s="20" t="n">
        <v>0.005</v>
      </c>
      <c r="G6" s="20" t="n">
        <v>0.005</v>
      </c>
      <c r="H6" s="21" t="inlineStr">
        <is>
          <t>PLI + subsidiary dividends; normalized lower</t>
        </is>
      </c>
      <c r="I6" s="22" t="inlineStr">
        <is>
          <t>Screener.in</t>
        </is>
      </c>
    </row>
    <row r="7">
      <c r="B7" s="19" t="inlineStr">
        <is>
          <t>D&amp;A as % Revenue</t>
        </is>
      </c>
      <c r="C7" s="20" t="n">
        <v>0.0075</v>
      </c>
      <c r="D7" s="20" t="n">
        <v>0.008</v>
      </c>
      <c r="E7" s="20" t="n">
        <v>0.008200000000000001</v>
      </c>
      <c r="F7" s="20" t="n">
        <v>0.0083</v>
      </c>
      <c r="G7" s="20" t="n">
        <v>0.0083</v>
      </c>
      <c r="H7" s="21" t="inlineStr">
        <is>
          <t>Capex intensification → rising D&amp;A</t>
        </is>
      </c>
      <c r="I7" s="22" t="inlineStr">
        <is>
          <t>Screener.in</t>
        </is>
      </c>
    </row>
    <row r="8">
      <c r="B8" s="19" t="inlineStr">
        <is>
          <t>Tax Rate</t>
        </is>
      </c>
      <c r="C8" s="20" t="n">
        <v>0.22</v>
      </c>
      <c r="H8" s="21" t="inlineStr">
        <is>
          <t>Normalized; FY25-26 low due to PLI</t>
        </is>
      </c>
      <c r="I8" s="22" t="inlineStr">
        <is>
          <t>Income Tax Act India</t>
        </is>
      </c>
    </row>
    <row r="10">
      <c r="B10" s="18" t="inlineStr">
        <is>
          <t>BALANCE SHEET DRIVERS — WORKING CAPITAL DAYS</t>
        </is>
      </c>
    </row>
    <row r="11">
      <c r="B11" s="19" t="inlineStr">
        <is>
          <t>Debtor Days</t>
        </is>
      </c>
      <c r="C11" s="23" t="n">
        <v>50</v>
      </c>
      <c r="H11" s="21" t="inlineStr">
        <is>
          <t>FY26A actual: 50 days (₹6,695Cr/₹48,873Cr×365)</t>
        </is>
      </c>
      <c r="I11" s="22" t="inlineStr">
        <is>
          <t>Screener.in</t>
        </is>
      </c>
    </row>
    <row r="12">
      <c r="B12" s="19" t="inlineStr">
        <is>
          <t>Inventory Days</t>
        </is>
      </c>
      <c r="C12" s="23" t="n">
        <v>40</v>
      </c>
      <c r="H12" s="21" t="inlineStr">
        <is>
          <t>FY25: 41 days; stable</t>
        </is>
      </c>
      <c r="I12" s="22" t="inlineStr">
        <is>
          <t>Screener.in</t>
        </is>
      </c>
    </row>
    <row r="13">
      <c r="B13" s="19" t="inlineStr">
        <is>
          <t>Days Payable</t>
        </is>
      </c>
      <c r="C13" s="23" t="n">
        <v>105</v>
      </c>
      <c r="H13" s="21" t="inlineStr">
        <is>
          <t>FY25: 111 days; slight tightening</t>
        </is>
      </c>
      <c r="I13" s="22" t="inlineStr">
        <is>
          <t>Screener.in</t>
        </is>
      </c>
    </row>
    <row r="14">
      <c r="B14" s="19" t="inlineStr">
        <is>
          <t>COGS as % Revenue (for payables base)</t>
        </is>
      </c>
      <c r="C14" s="20" t="n">
        <v>0.88</v>
      </c>
      <c r="H14" s="21" t="inlineStr">
        <is>
          <t>Screener expenses/revenue</t>
        </is>
      </c>
      <c r="I14" s="22" t="inlineStr">
        <is>
          <t>Screener.in</t>
        </is>
      </c>
    </row>
    <row r="16">
      <c r="B16" s="18" t="inlineStr">
        <is>
          <t>CAPEX &amp; DEBT</t>
        </is>
      </c>
    </row>
    <row r="17">
      <c r="B17" s="19" t="inlineStr">
        <is>
          <t>Capex as % Revenue</t>
        </is>
      </c>
      <c r="C17" s="20" t="n">
        <v>0.028</v>
      </c>
      <c r="D17" s="20" t="n">
        <v>0.026</v>
      </c>
      <c r="E17" s="20" t="n">
        <v>0.024</v>
      </c>
      <c r="F17" s="20" t="n">
        <v>0.022</v>
      </c>
      <c r="G17" s="20" t="n">
        <v>0.02</v>
      </c>
      <c r="H17" s="21" t="inlineStr">
        <is>
          <t>FY26A actual: 2.6%; 2.8% for FY27E then declining</t>
        </is>
      </c>
      <c r="I17" s="22" t="inlineStr">
        <is>
          <t>Screener.in CF</t>
        </is>
      </c>
    </row>
    <row r="18">
      <c r="B18" s="19" t="inlineStr">
        <is>
          <t>Pre-tax Cost of Debt (Kd)</t>
        </is>
      </c>
      <c r="C18" s="20" t="n">
        <v>0.08500000000000001</v>
      </c>
      <c r="H18" s="21" t="inlineStr">
        <is>
          <t>Repo rate + ~200bps spread</t>
        </is>
      </c>
      <c r="I18" s="22" t="inlineStr">
        <is>
          <t>RBI + estimate</t>
        </is>
      </c>
    </row>
    <row r="19">
      <c r="B19" s="24" t="inlineStr">
        <is>
          <t>Debt Outstanding (₹ Cr)</t>
        </is>
      </c>
      <c r="C19" s="25" t="n">
        <v>1100</v>
      </c>
      <c r="D19" s="25" t="n">
        <v>1200</v>
      </c>
      <c r="E19" s="25" t="n">
        <v>1300</v>
      </c>
      <c r="F19" s="25" t="n">
        <v>1350</v>
      </c>
      <c r="G19" s="25" t="n">
        <v>1400</v>
      </c>
      <c r="H19" s="21" t="inlineStr">
        <is>
          <t>Moderate leverage; EMS asset-light</t>
        </is>
      </c>
    </row>
    <row r="21">
      <c r="B21" s="18" t="inlineStr">
        <is>
          <t>WACC DERIVATION (CAPM)</t>
        </is>
      </c>
    </row>
    <row r="22">
      <c r="B22" s="19" t="inlineStr">
        <is>
          <t>Risk-Free Rate (Rf)</t>
        </is>
      </c>
      <c r="C22" s="20" t="n">
        <v>0.07000000000000001</v>
      </c>
      <c r="H22" s="21" t="inlineStr">
        <is>
          <t>India 10-yr G-Sec</t>
        </is>
      </c>
      <c r="I22" s="22" t="inlineStr">
        <is>
          <t>RBI June 2026</t>
        </is>
      </c>
    </row>
    <row r="23">
      <c r="B23" s="19" t="inlineStr">
        <is>
          <t>Equity Risk Premium (ERP)</t>
        </is>
      </c>
      <c r="C23" s="20" t="n">
        <v>0.06</v>
      </c>
      <c r="H23" s="21" t="inlineStr">
        <is>
          <t>Damodaran India ERP</t>
        </is>
      </c>
      <c r="I23" s="22" t="inlineStr">
        <is>
          <t>Damodaran Jan 2026</t>
        </is>
      </c>
    </row>
    <row r="24">
      <c r="B24" s="19" t="inlineStr">
        <is>
          <t>Beta (β, levered)</t>
        </is>
      </c>
      <c r="C24" s="26" t="n">
        <v>1.4</v>
      </c>
      <c r="H24" s="21" t="inlineStr">
        <is>
          <t>2-yr weekly vs Nifty 50</t>
        </is>
      </c>
      <c r="I24" s="22" t="inlineStr">
        <is>
          <t>Screener / NSE</t>
        </is>
      </c>
    </row>
    <row r="25">
      <c r="B25" s="19" t="inlineStr">
        <is>
          <t>Cost of Equity (Ke = Rf + β×ERP)</t>
        </is>
      </c>
      <c r="C25" s="27" t="n">
        <v>0.154</v>
      </c>
      <c r="H25" s="21" t="inlineStr">
        <is>
          <t>CAPM</t>
        </is>
      </c>
      <c r="I25" s="22" t="inlineStr">
        <is>
          <t>Derived</t>
        </is>
      </c>
    </row>
    <row r="26">
      <c r="B26" s="19" t="inlineStr">
        <is>
          <t>Pre-tax Cost of Debt (Kd)</t>
        </is>
      </c>
      <c r="C26" s="20" t="n">
        <v>0.08500000000000001</v>
      </c>
      <c r="H26" s="21" t="inlineStr">
        <is>
          <t>Repo + spread</t>
        </is>
      </c>
      <c r="I26" s="22" t="inlineStr">
        <is>
          <t>RBI</t>
        </is>
      </c>
    </row>
    <row r="27">
      <c r="B27" s="19" t="inlineStr">
        <is>
          <t>Tax Rate for WACC</t>
        </is>
      </c>
      <c r="C27" s="20" t="n">
        <v>0.22</v>
      </c>
      <c r="H27" s="21" t="inlineStr">
        <is>
          <t>Normalized</t>
        </is>
      </c>
      <c r="I27" s="22" t="inlineStr">
        <is>
          <t>Income Tax Act</t>
        </is>
      </c>
    </row>
    <row r="28">
      <c r="B28" s="19" t="inlineStr">
        <is>
          <t>After-tax Cost of Debt</t>
        </is>
      </c>
      <c r="C28" s="27" t="n">
        <v>0.06630000000000001</v>
      </c>
      <c r="H28" s="21" t="inlineStr">
        <is>
          <t>Kd × (1-t)</t>
        </is>
      </c>
      <c r="I28" s="22" t="inlineStr">
        <is>
          <t>Derived</t>
        </is>
      </c>
    </row>
    <row r="29">
      <c r="B29" s="19" t="inlineStr">
        <is>
          <t>Debt Weight (D/V)</t>
        </is>
      </c>
      <c r="C29" s="20" t="n">
        <v>0.2</v>
      </c>
      <c r="H29" s="21" t="inlineStr">
        <is>
          <t>FY26 BS structure</t>
        </is>
      </c>
      <c r="I29" s="22" t="inlineStr">
        <is>
          <t>Screener.in</t>
        </is>
      </c>
    </row>
    <row r="30">
      <c r="B30" s="19" t="inlineStr">
        <is>
          <t>Equity Weight (E/V)</t>
        </is>
      </c>
      <c r="C30" s="27" t="n">
        <v>0.8</v>
      </c>
      <c r="H30" s="21" t="inlineStr">
        <is>
          <t>1 - D/V</t>
        </is>
      </c>
      <c r="I30" s="22" t="inlineStr">
        <is>
          <t>Derived</t>
        </is>
      </c>
    </row>
    <row r="31">
      <c r="B31" s="19" t="inlineStr">
        <is>
          <t>WACC</t>
        </is>
      </c>
      <c r="C31" s="28" t="n">
        <v>0.13646</v>
      </c>
      <c r="H31" s="21" t="inlineStr">
        <is>
          <t>Ke×E% + Kd(at)×D%</t>
        </is>
      </c>
      <c r="I31" s="22" t="inlineStr">
        <is>
          <t>Derived</t>
        </is>
      </c>
    </row>
    <row r="33">
      <c r="B33" s="18" t="inlineStr">
        <is>
          <t>TERMINAL VALUE</t>
        </is>
      </c>
    </row>
    <row r="34">
      <c r="B34" s="19" t="inlineStr">
        <is>
          <t>Terminal Growth Rate (TGR)</t>
        </is>
      </c>
      <c r="C34" s="20" t="n">
        <v>0.055</v>
      </c>
      <c r="H34" s="21" t="inlineStr">
        <is>
          <t>Conservative India nominal GDP proxy</t>
        </is>
      </c>
      <c r="I34" s="22" t="inlineStr">
        <is>
          <t>IMF / RBI</t>
        </is>
      </c>
    </row>
    <row r="35">
      <c r="B35" s="19" t="inlineStr">
        <is>
          <t>Shares Outstanding (Lakh)</t>
        </is>
      </c>
      <c r="C35" s="23" t="n">
        <v>676.4</v>
      </c>
      <c r="H35" s="21" t="inlineStr">
        <is>
          <t>FY26 diluted</t>
        </is>
      </c>
      <c r="I35" s="22" t="inlineStr">
        <is>
          <t>Screener.in</t>
        </is>
      </c>
    </row>
    <row r="38">
      <c r="B38" s="16" t="inlineStr">
        <is>
          <t>Colour: Blue = hardcoded input  ·  Black = derived formula  ·  All assumptions editable in this tab only</t>
        </is>
      </c>
    </row>
  </sheetData>
  <mergeCells count="7">
    <mergeCell ref="B21:I21"/>
    <mergeCell ref="B33:I33"/>
    <mergeCell ref="B38:I38"/>
    <mergeCell ref="B16:I16"/>
    <mergeCell ref="B10:I10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M2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29" t="inlineStr">
        <is>
          <t>INCOME STATEMENT  —  Dixon Technologies (India) Ltd.</t>
        </is>
      </c>
    </row>
    <row r="2" ht="18" customHeight="1">
      <c r="A2" s="30" t="inlineStr">
        <is>
          <t>₹ Crore</t>
        </is>
      </c>
      <c r="C2" s="7" t="inlineStr">
        <is>
          <t>FY21</t>
        </is>
      </c>
      <c r="D2" s="7" t="inlineStr">
        <is>
          <t>FY22</t>
        </is>
      </c>
      <c r="E2" s="7" t="inlineStr">
        <is>
          <t>FY23</t>
        </is>
      </c>
      <c r="F2" s="7" t="inlineStr">
        <is>
          <t>FY24</t>
        </is>
      </c>
      <c r="G2" s="7" t="inlineStr">
        <is>
          <t>FY25</t>
        </is>
      </c>
      <c r="H2" s="7" t="inlineStr">
        <is>
          <t>FY26</t>
        </is>
      </c>
      <c r="I2" s="31" t="inlineStr">
        <is>
          <t>FY27E</t>
        </is>
      </c>
      <c r="J2" s="31" t="inlineStr">
        <is>
          <t>FY28E</t>
        </is>
      </c>
      <c r="K2" s="31" t="inlineStr">
        <is>
          <t>FY29E</t>
        </is>
      </c>
      <c r="L2" s="31" t="inlineStr">
        <is>
          <t>FY30E</t>
        </is>
      </c>
      <c r="M2" s="31" t="inlineStr">
        <is>
          <t>FY31E</t>
        </is>
      </c>
    </row>
    <row r="3">
      <c r="A3" s="32" t="inlineStr">
        <is>
          <t>Revenue (Net Sales)</t>
        </is>
      </c>
      <c r="C3" s="33" t="n">
        <v>6448</v>
      </c>
      <c r="D3" s="33" t="n">
        <v>10697</v>
      </c>
      <c r="E3" s="33" t="n">
        <v>12192</v>
      </c>
      <c r="F3" s="33" t="n">
        <v>17691</v>
      </c>
      <c r="G3" s="33" t="n">
        <v>38860</v>
      </c>
      <c r="H3" s="33" t="n">
        <v>48873</v>
      </c>
      <c r="I3" s="34">
        <f>ROUND(H3*(1+ASSUMP!C4),0)</f>
        <v/>
      </c>
      <c r="J3" s="34">
        <f>ROUND(I3*(1+ASSUMP!D4),0)</f>
        <v/>
      </c>
      <c r="K3" s="34">
        <f>ROUND(J3*(1+ASSUMP!E4),0)</f>
        <v/>
      </c>
      <c r="L3" s="34">
        <f>ROUND(K3*(1+ASSUMP!F4),0)</f>
        <v/>
      </c>
      <c r="M3" s="34">
        <f>ROUND(L3*(1+ASSUMP!G4),0)</f>
        <v/>
      </c>
    </row>
    <row r="4">
      <c r="A4" s="35" t="inlineStr">
        <is>
          <t xml:space="preserve">  YoY Revenue Growth %</t>
        </is>
      </c>
      <c r="D4" s="36">
        <f>D3/C3-1</f>
        <v/>
      </c>
      <c r="E4" s="36">
        <f>E3/D3-1</f>
        <v/>
      </c>
      <c r="F4" s="36">
        <f>F3/E3-1</f>
        <v/>
      </c>
      <c r="G4" s="36">
        <f>G3/F3-1</f>
        <v/>
      </c>
      <c r="H4" s="36">
        <f>H3/G3-1</f>
        <v/>
      </c>
      <c r="I4" s="37">
        <f>ASSUMP!C4</f>
        <v/>
      </c>
      <c r="J4" s="37">
        <f>ASSUMP!D4</f>
        <v/>
      </c>
      <c r="K4" s="37">
        <f>ASSUMP!E4</f>
        <v/>
      </c>
      <c r="L4" s="37">
        <f>ASSUMP!F4</f>
        <v/>
      </c>
      <c r="M4" s="37">
        <f>ASSUMP!G4</f>
        <v/>
      </c>
    </row>
    <row r="5">
      <c r="A5" s="35" t="inlineStr">
        <is>
          <t xml:space="preserve">  Material Cost</t>
        </is>
      </c>
      <c r="C5" s="38" t="n">
        <v>5479</v>
      </c>
      <c r="D5" s="38" t="n">
        <v>9385</v>
      </c>
      <c r="E5" s="38" t="n">
        <v>10506</v>
      </c>
      <c r="F5" s="38" t="n">
        <v>15457</v>
      </c>
      <c r="G5" s="38" t="n">
        <v>34357</v>
      </c>
      <c r="H5" s="38" t="n">
        <v>43716</v>
      </c>
      <c r="I5" s="39">
        <f>ROUND(I8*0.92,0)</f>
        <v/>
      </c>
      <c r="J5" s="39">
        <f>ROUND(J8*0.92,0)</f>
        <v/>
      </c>
      <c r="K5" s="39">
        <f>ROUND(K8*0.92,0)</f>
        <v/>
      </c>
      <c r="L5" s="39">
        <f>ROUND(L8*0.92,0)</f>
        <v/>
      </c>
      <c r="M5" s="39">
        <f>ROUND(M8*0.92,0)</f>
        <v/>
      </c>
    </row>
    <row r="6">
      <c r="A6" s="35" t="inlineStr">
        <is>
          <t xml:space="preserve">  Employee Benefit Expenses</t>
        </is>
      </c>
      <c r="C6" s="38" t="n">
        <v>123</v>
      </c>
      <c r="D6" s="38" t="n">
        <v>206</v>
      </c>
      <c r="E6" s="38" t="n">
        <v>233</v>
      </c>
      <c r="F6" s="38" t="n">
        <v>340</v>
      </c>
      <c r="G6" s="38" t="n">
        <v>373</v>
      </c>
      <c r="H6" s="38" t="n">
        <v>470</v>
      </c>
      <c r="I6" s="39">
        <f>ROUND(I8*0.015,0)</f>
        <v/>
      </c>
      <c r="J6" s="39">
        <f>ROUND(J8*0.015,0)</f>
        <v/>
      </c>
      <c r="K6" s="39">
        <f>ROUND(K8*0.015,0)</f>
        <v/>
      </c>
      <c r="L6" s="39">
        <f>ROUND(L8*0.015,0)</f>
        <v/>
      </c>
      <c r="M6" s="39">
        <f>ROUND(M8*0.015,0)</f>
        <v/>
      </c>
    </row>
    <row r="7">
      <c r="A7" s="35" t="inlineStr">
        <is>
          <t xml:space="preserve">  Other Operating Costs (incl. Mfg., Inventory Δ)</t>
        </is>
      </c>
      <c r="C7" s="40">
        <f>C8-C5-C6</f>
        <v/>
      </c>
      <c r="D7" s="40">
        <f>D8-D5-D6</f>
        <v/>
      </c>
      <c r="E7" s="40">
        <f>E8-E5-E6</f>
        <v/>
      </c>
      <c r="F7" s="40">
        <f>F8-F5-F6</f>
        <v/>
      </c>
      <c r="G7" s="40">
        <f>G8-G5-G6</f>
        <v/>
      </c>
      <c r="H7" s="40">
        <f>H8-H5-H6</f>
        <v/>
      </c>
      <c r="I7" s="41">
        <f>I8-I5-I6</f>
        <v/>
      </c>
      <c r="J7" s="41">
        <f>J8-J5-J6</f>
        <v/>
      </c>
      <c r="K7" s="41">
        <f>K8-K5-K6</f>
        <v/>
      </c>
      <c r="L7" s="41">
        <f>L8-L5-L6</f>
        <v/>
      </c>
      <c r="M7" s="41">
        <f>M8-M5-M6</f>
        <v/>
      </c>
    </row>
    <row r="8">
      <c r="A8" s="35" t="inlineStr">
        <is>
          <t>Total Operating Expenses</t>
        </is>
      </c>
      <c r="C8" s="42">
        <f>C3-C9</f>
        <v/>
      </c>
      <c r="D8" s="42">
        <f>D3-D9</f>
        <v/>
      </c>
      <c r="E8" s="42">
        <f>E3-E9</f>
        <v/>
      </c>
      <c r="F8" s="42">
        <f>F3-F9</f>
        <v/>
      </c>
      <c r="G8" s="42">
        <f>G3-G9</f>
        <v/>
      </c>
      <c r="H8" s="42">
        <f>H3-H9</f>
        <v/>
      </c>
      <c r="I8" s="42">
        <f>I3-I9</f>
        <v/>
      </c>
      <c r="J8" s="42">
        <f>J3-J9</f>
        <v/>
      </c>
      <c r="K8" s="42">
        <f>K3-K9</f>
        <v/>
      </c>
      <c r="L8" s="42">
        <f>L3-L9</f>
        <v/>
      </c>
      <c r="M8" s="42">
        <f>M3-M9</f>
        <v/>
      </c>
    </row>
    <row r="9">
      <c r="A9" s="32" t="inlineStr">
        <is>
          <t>EBITDA  (Operating Profit)</t>
        </is>
      </c>
      <c r="C9" s="43" t="n">
        <v>292</v>
      </c>
      <c r="D9" s="43" t="n">
        <v>384</v>
      </c>
      <c r="E9" s="43" t="n">
        <v>519</v>
      </c>
      <c r="F9" s="43" t="n">
        <v>705</v>
      </c>
      <c r="G9" s="43" t="n">
        <v>1515</v>
      </c>
      <c r="H9" s="43" t="n">
        <v>1867</v>
      </c>
      <c r="I9" s="44">
        <f>ROUND(I3*ASSUMP!C5,0)</f>
        <v/>
      </c>
      <c r="J9" s="44">
        <f>ROUND(J3*ASSUMP!D5,0)</f>
        <v/>
      </c>
      <c r="K9" s="44">
        <f>ROUND(K3*ASSUMP!E5,0)</f>
        <v/>
      </c>
      <c r="L9" s="44">
        <f>ROUND(L3*ASSUMP!F5,0)</f>
        <v/>
      </c>
      <c r="M9" s="44">
        <f>ROUND(M3*ASSUMP!G5,0)</f>
        <v/>
      </c>
    </row>
    <row r="10">
      <c r="A10" s="35" t="inlineStr">
        <is>
          <t xml:space="preserve">  EBITDA Margin %</t>
        </is>
      </c>
      <c r="C10" s="36">
        <f>C9/C3</f>
        <v/>
      </c>
      <c r="D10" s="36">
        <f>D9/D3</f>
        <v/>
      </c>
      <c r="E10" s="36">
        <f>E9/E3</f>
        <v/>
      </c>
      <c r="F10" s="36">
        <f>F9/F3</f>
        <v/>
      </c>
      <c r="G10" s="36">
        <f>G9/G3</f>
        <v/>
      </c>
      <c r="H10" s="36">
        <f>H9/H3</f>
        <v/>
      </c>
      <c r="I10" s="45">
        <f>I9/I3</f>
        <v/>
      </c>
      <c r="J10" s="45">
        <f>J9/J3</f>
        <v/>
      </c>
      <c r="K10" s="45">
        <f>K9/K3</f>
        <v/>
      </c>
      <c r="L10" s="45">
        <f>L9/L3</f>
        <v/>
      </c>
      <c r="M10" s="45">
        <f>M9/M3</f>
        <v/>
      </c>
    </row>
    <row r="11">
      <c r="A11" s="35" t="inlineStr">
        <is>
          <t>Depreciation &amp; Amortisation (D&amp;A)</t>
        </is>
      </c>
      <c r="C11" s="38" t="n">
        <v>44</v>
      </c>
      <c r="D11" s="38" t="n">
        <v>84</v>
      </c>
      <c r="E11" s="38" t="n">
        <v>115</v>
      </c>
      <c r="F11" s="38" t="n">
        <v>162</v>
      </c>
      <c r="G11" s="38" t="n">
        <v>281</v>
      </c>
      <c r="H11" s="38" t="n">
        <v>393</v>
      </c>
      <c r="I11" s="41">
        <f>ROUND(I3*ASSUMP!C7,0)</f>
        <v/>
      </c>
      <c r="J11" s="41">
        <f>ROUND(J3*ASSUMP!D7,0)</f>
        <v/>
      </c>
      <c r="K11" s="41">
        <f>ROUND(K3*ASSUMP!E7,0)</f>
        <v/>
      </c>
      <c r="L11" s="41">
        <f>ROUND(L3*ASSUMP!F7,0)</f>
        <v/>
      </c>
      <c r="M11" s="41">
        <f>ROUND(M3*ASSUMP!G7,0)</f>
        <v/>
      </c>
    </row>
    <row r="12">
      <c r="A12" s="32" t="inlineStr">
        <is>
          <t>EBIT  (Operating Income)</t>
        </is>
      </c>
      <c r="C12" s="42">
        <f>C9-C11</f>
        <v/>
      </c>
      <c r="D12" s="42">
        <f>D9-D11</f>
        <v/>
      </c>
      <c r="E12" s="42">
        <f>E9-E11</f>
        <v/>
      </c>
      <c r="F12" s="42">
        <f>F9-F11</f>
        <v/>
      </c>
      <c r="G12" s="42">
        <f>G9-G11</f>
        <v/>
      </c>
      <c r="H12" s="42">
        <f>H9-H11</f>
        <v/>
      </c>
      <c r="I12" s="42">
        <f>I9-I11</f>
        <v/>
      </c>
      <c r="J12" s="42">
        <f>J9-J11</f>
        <v/>
      </c>
      <c r="K12" s="42">
        <f>K9-K11</f>
        <v/>
      </c>
      <c r="L12" s="42">
        <f>L9-L11</f>
        <v/>
      </c>
      <c r="M12" s="42">
        <f>M9-M11</f>
        <v/>
      </c>
    </row>
    <row r="13">
      <c r="A13" s="35" t="inlineStr">
        <is>
          <t xml:space="preserve">  EBIT Margin %</t>
        </is>
      </c>
      <c r="C13" s="36">
        <f>C12/C3</f>
        <v/>
      </c>
      <c r="D13" s="36">
        <f>D12/D3</f>
        <v/>
      </c>
      <c r="E13" s="36">
        <f>E12/E3</f>
        <v/>
      </c>
      <c r="F13" s="36">
        <f>F12/F3</f>
        <v/>
      </c>
      <c r="G13" s="36">
        <f>G12/G3</f>
        <v/>
      </c>
      <c r="H13" s="36">
        <f>H12/H3</f>
        <v/>
      </c>
      <c r="I13" s="45">
        <f>I12/I3</f>
        <v/>
      </c>
      <c r="J13" s="45">
        <f>J12/J3</f>
        <v/>
      </c>
      <c r="K13" s="45">
        <f>K12/K3</f>
        <v/>
      </c>
      <c r="L13" s="45">
        <f>L12/L3</f>
        <v/>
      </c>
      <c r="M13" s="45">
        <f>M12/M3</f>
        <v/>
      </c>
    </row>
    <row r="14">
      <c r="A14" s="35" t="inlineStr">
        <is>
          <t>Add: Other Income  (non-operating)</t>
        </is>
      </c>
      <c r="C14" s="38" t="n">
        <v>1</v>
      </c>
      <c r="D14" s="38" t="n">
        <v>4</v>
      </c>
      <c r="E14" s="38" t="n">
        <v>4</v>
      </c>
      <c r="F14" s="38" t="n">
        <v>32</v>
      </c>
      <c r="G14" s="38" t="n">
        <v>497</v>
      </c>
      <c r="H14" s="38" t="n">
        <v>734</v>
      </c>
      <c r="I14" s="41">
        <f>ROUND(I3*ASSUMP!C6,0)</f>
        <v/>
      </c>
      <c r="J14" s="41">
        <f>ROUND(J3*ASSUMP!D6,0)</f>
        <v/>
      </c>
      <c r="K14" s="41">
        <f>ROUND(K3*ASSUMP!E6,0)</f>
        <v/>
      </c>
      <c r="L14" s="41">
        <f>ROUND(L3*ASSUMP!F6,0)</f>
        <v/>
      </c>
      <c r="M14" s="41">
        <f>ROUND(M3*ASSUMP!G6,0)</f>
        <v/>
      </c>
    </row>
    <row r="15">
      <c r="A15" s="35" t="inlineStr">
        <is>
          <t>Less: Interest Expense</t>
        </is>
      </c>
      <c r="C15" s="38" t="n">
        <v>33</v>
      </c>
      <c r="D15" s="38" t="n">
        <v>49</v>
      </c>
      <c r="E15" s="38" t="n">
        <v>64</v>
      </c>
      <c r="F15" s="38" t="n">
        <v>81</v>
      </c>
      <c r="G15" s="38" t="n">
        <v>162</v>
      </c>
      <c r="H15" s="38" t="n">
        <v>137</v>
      </c>
      <c r="I15" s="41">
        <f>ROUND(BS!H10*ASSUMP!C18,0)</f>
        <v/>
      </c>
      <c r="J15" s="41">
        <f>ROUND(BS!I10*ASSUMP!C18,0)</f>
        <v/>
      </c>
      <c r="K15" s="41">
        <f>ROUND(BS!J10*ASSUMP!C18,0)</f>
        <v/>
      </c>
      <c r="L15" s="41">
        <f>ROUND(BS!K10*ASSUMP!C18,0)</f>
        <v/>
      </c>
      <c r="M15" s="41">
        <f>ROUND(BS!L10*ASSUMP!C18,0)</f>
        <v/>
      </c>
    </row>
    <row r="16">
      <c r="A16" s="32" t="inlineStr">
        <is>
          <t>PBT  (Profit Before Tax)</t>
        </is>
      </c>
      <c r="C16" s="42">
        <f>C12+C14-C15</f>
        <v/>
      </c>
      <c r="D16" s="42">
        <f>D12+D14-D15</f>
        <v/>
      </c>
      <c r="E16" s="42">
        <f>E12+E14-E15</f>
        <v/>
      </c>
      <c r="F16" s="42">
        <f>F12+F14-F15</f>
        <v/>
      </c>
      <c r="G16" s="42">
        <f>G12+G14-G15</f>
        <v/>
      </c>
      <c r="H16" s="42">
        <f>H12+H14-H15</f>
        <v/>
      </c>
      <c r="I16" s="42">
        <f>I12+I14-I15</f>
        <v/>
      </c>
      <c r="J16" s="42">
        <f>J12+J14-J15</f>
        <v/>
      </c>
      <c r="K16" s="42">
        <f>K12+K14-K15</f>
        <v/>
      </c>
      <c r="L16" s="42">
        <f>L12+L14-L15</f>
        <v/>
      </c>
      <c r="M16" s="42">
        <f>M12+M14-M15</f>
        <v/>
      </c>
    </row>
    <row r="17">
      <c r="A17" s="35" t="inlineStr">
        <is>
          <t>Income Tax</t>
        </is>
      </c>
      <c r="C17" s="38" t="n">
        <v>57</v>
      </c>
      <c r="D17" s="38" t="n">
        <v>65</v>
      </c>
      <c r="E17" s="38" t="n">
        <v>90</v>
      </c>
      <c r="F17" s="38" t="n">
        <v>119</v>
      </c>
      <c r="G17" s="38" t="n">
        <v>337</v>
      </c>
      <c r="H17" s="38" t="n">
        <v>427</v>
      </c>
      <c r="I17" s="41">
        <f>ROUND(I16*ASSUMP!C8,0)</f>
        <v/>
      </c>
      <c r="J17" s="41">
        <f>ROUND(J16*ASSUMP!C8,0)</f>
        <v/>
      </c>
      <c r="K17" s="41">
        <f>ROUND(K16*ASSUMP!C8,0)</f>
        <v/>
      </c>
      <c r="L17" s="41">
        <f>ROUND(L16*ASSUMP!C8,0)</f>
        <v/>
      </c>
      <c r="M17" s="41">
        <f>ROUND(M16*ASSUMP!C8,0)</f>
        <v/>
      </c>
    </row>
    <row r="18">
      <c r="A18" s="32" t="inlineStr">
        <is>
          <t>PAT  (Net Profit)</t>
        </is>
      </c>
      <c r="C18" s="42">
        <f>C16-C17</f>
        <v/>
      </c>
      <c r="D18" s="42">
        <f>D16-D17</f>
        <v/>
      </c>
      <c r="E18" s="42">
        <f>E16-E17</f>
        <v/>
      </c>
      <c r="F18" s="42">
        <f>F16-F17</f>
        <v/>
      </c>
      <c r="G18" s="42">
        <f>G16-G17</f>
        <v/>
      </c>
      <c r="H18" s="42">
        <f>H16-H17</f>
        <v/>
      </c>
      <c r="I18" s="42">
        <f>I16-I17</f>
        <v/>
      </c>
      <c r="J18" s="42">
        <f>J16-J17</f>
        <v/>
      </c>
      <c r="K18" s="42">
        <f>K16-K17</f>
        <v/>
      </c>
      <c r="L18" s="42">
        <f>L16-L17</f>
        <v/>
      </c>
      <c r="M18" s="42">
        <f>M16-M17</f>
        <v/>
      </c>
    </row>
    <row r="19">
      <c r="A19" s="35" t="inlineStr">
        <is>
          <t xml:space="preserve">  PAT Margin %</t>
        </is>
      </c>
      <c r="C19" s="36">
        <f>C18/C3</f>
        <v/>
      </c>
      <c r="D19" s="36">
        <f>D18/D3</f>
        <v/>
      </c>
      <c r="E19" s="36">
        <f>E18/E3</f>
        <v/>
      </c>
      <c r="F19" s="36">
        <f>F18/F3</f>
        <v/>
      </c>
      <c r="G19" s="36">
        <f>G18/G3</f>
        <v/>
      </c>
      <c r="H19" s="36">
        <f>H18/H3</f>
        <v/>
      </c>
      <c r="I19" s="45">
        <f>I18/I3</f>
        <v/>
      </c>
      <c r="J19" s="45">
        <f>J18/J3</f>
        <v/>
      </c>
      <c r="K19" s="45">
        <f>K18/K3</f>
        <v/>
      </c>
      <c r="L19" s="45">
        <f>L18/L3</f>
        <v/>
      </c>
      <c r="M19" s="45">
        <f>M18/M3</f>
        <v/>
      </c>
    </row>
    <row r="20">
      <c r="A20" s="35" t="inlineStr">
        <is>
          <t>EPS (₹ per share)</t>
        </is>
      </c>
      <c r="C20" s="46" t="n">
        <v>27.28</v>
      </c>
      <c r="D20" s="46" t="n">
        <v>32.05</v>
      </c>
      <c r="E20" s="46" t="n">
        <v>42.9</v>
      </c>
      <c r="F20" s="46" t="n">
        <v>61.47</v>
      </c>
      <c r="G20" s="46" t="n">
        <v>181.87</v>
      </c>
      <c r="H20" s="46" t="n">
        <v>236.61</v>
      </c>
      <c r="I20" s="47">
        <f>ROUND(I18*100/ASSUMP!C35,2)</f>
        <v/>
      </c>
      <c r="J20" s="47">
        <f>ROUND(J18*100/ASSUMP!C35,2)</f>
        <v/>
      </c>
      <c r="K20" s="47">
        <f>ROUND(K18*100/ASSUMP!C35,2)</f>
        <v/>
      </c>
      <c r="L20" s="47">
        <f>ROUND(L18*100/ASSUMP!C35,2)</f>
        <v/>
      </c>
      <c r="M20" s="47">
        <f>ROUND(M18*100/ASSUMP!C35,2)</f>
        <v/>
      </c>
    </row>
    <row r="21">
      <c r="A21" s="35" t="inlineStr">
        <is>
          <t>Dividends Paid</t>
        </is>
      </c>
      <c r="C21" s="38" t="n">
        <v>6</v>
      </c>
      <c r="D21" s="38" t="n">
        <v>11</v>
      </c>
      <c r="E21" s="38" t="n">
        <v>18</v>
      </c>
      <c r="F21" s="38" t="n">
        <v>30</v>
      </c>
      <c r="G21" s="38" t="n">
        <v>49</v>
      </c>
      <c r="H21" s="38" t="n">
        <v>66</v>
      </c>
      <c r="I21" s="39">
        <f>ROUND(I18*0.05,0)</f>
        <v/>
      </c>
      <c r="J21" s="39">
        <f>ROUND(J18*0.05,0)</f>
        <v/>
      </c>
      <c r="K21" s="39">
        <f>ROUND(K18*0.05,0)</f>
        <v/>
      </c>
      <c r="L21" s="39">
        <f>ROUND(L18*0.05,0)</f>
        <v/>
      </c>
      <c r="M21" s="39">
        <f>ROUND(M18*0.05,0)</f>
        <v/>
      </c>
    </row>
    <row r="22">
      <c r="A22" s="32" t="inlineStr">
        <is>
          <t>Retained Earnings (PAT – Dividends)</t>
        </is>
      </c>
      <c r="C22" s="33" t="n">
        <v>154</v>
      </c>
      <c r="D22" s="33" t="n">
        <v>179</v>
      </c>
      <c r="E22" s="33" t="n">
        <v>237</v>
      </c>
      <c r="F22" s="33" t="n">
        <v>345</v>
      </c>
      <c r="G22" s="33" t="n">
        <v>1184</v>
      </c>
      <c r="H22" s="33" t="n">
        <v>1578</v>
      </c>
      <c r="I22" s="48">
        <f>I18-I21</f>
        <v/>
      </c>
      <c r="J22" s="48">
        <f>J18-J21</f>
        <v/>
      </c>
      <c r="K22" s="48">
        <f>K18-K21</f>
        <v/>
      </c>
      <c r="L22" s="48">
        <f>L18-L21</f>
        <v/>
      </c>
      <c r="M22" s="48">
        <f>M18-M21</f>
        <v/>
      </c>
    </row>
    <row r="24">
      <c r="A24" s="49" t="inlineStr">
        <is>
          <t>Depreciation (memo — used in CF)</t>
        </is>
      </c>
      <c r="C24" s="50">
        <f>C11</f>
        <v/>
      </c>
      <c r="D24" s="50">
        <f>D11</f>
        <v/>
      </c>
      <c r="E24" s="50">
        <f>E11</f>
        <v/>
      </c>
      <c r="F24" s="50">
        <f>F11</f>
        <v/>
      </c>
      <c r="G24" s="50">
        <f>G11</f>
        <v/>
      </c>
      <c r="H24" s="50">
        <f>H11</f>
        <v/>
      </c>
      <c r="I24" s="50">
        <f>I11</f>
        <v/>
      </c>
      <c r="J24" s="50">
        <f>J11</f>
        <v/>
      </c>
      <c r="K24" s="50">
        <f>K11</f>
        <v/>
      </c>
      <c r="L24" s="50">
        <f>L11</f>
        <v/>
      </c>
      <c r="M24" s="50">
        <f>M11</f>
        <v/>
      </c>
    </row>
    <row r="25">
      <c r="A25" s="32" t="inlineStr">
        <is>
          <t>NOPAT  = EBIT × (1 − Tax)  [DCF input]</t>
        </is>
      </c>
      <c r="C25" s="42">
        <f>ROUND(C12*(1-0.26),0)</f>
        <v/>
      </c>
      <c r="D25" s="42">
        <f>ROUND(D12*(1-0.25),0)</f>
        <v/>
      </c>
      <c r="E25" s="42">
        <f>ROUND(E12*(1-0.26),0)</f>
        <v/>
      </c>
      <c r="F25" s="42">
        <f>ROUND(F12*(1-0.24),0)</f>
        <v/>
      </c>
      <c r="G25" s="42">
        <f>ROUND(G12*(1-0.21),0)</f>
        <v/>
      </c>
      <c r="H25" s="42">
        <f>ROUND(H12*(1-0.21),0)</f>
        <v/>
      </c>
      <c r="I25" s="42">
        <f>ROUND(I12*(1-ASSUMP!C8),0)</f>
        <v/>
      </c>
      <c r="J25" s="42">
        <f>ROUND(J12*(1-ASSUMP!C8),0)</f>
        <v/>
      </c>
      <c r="K25" s="42">
        <f>ROUND(K12*(1-ASSUMP!C8),0)</f>
        <v/>
      </c>
      <c r="L25" s="42">
        <f>ROUND(L12*(1-ASSUMP!C8),0)</f>
        <v/>
      </c>
      <c r="M25" s="42">
        <f>ROUND(M12*(1-ASSUMP!C8),0)</f>
        <v/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M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1" t="inlineStr">
        <is>
          <t>BALANCE SHEET  —  Dixon Technologies (India) Ltd.</t>
        </is>
      </c>
    </row>
    <row r="2" ht="18" customHeight="1">
      <c r="A2" s="30" t="inlineStr">
        <is>
          <t>₹ Crore</t>
        </is>
      </c>
      <c r="C2" s="7" t="inlineStr">
        <is>
          <t>FY21</t>
        </is>
      </c>
      <c r="D2" s="7" t="inlineStr">
        <is>
          <t>FY22</t>
        </is>
      </c>
      <c r="E2" s="7" t="inlineStr">
        <is>
          <t>FY23</t>
        </is>
      </c>
      <c r="F2" s="7" t="inlineStr">
        <is>
          <t>FY24</t>
        </is>
      </c>
      <c r="G2" s="7" t="inlineStr">
        <is>
          <t>FY25</t>
        </is>
      </c>
      <c r="H2" s="7" t="inlineStr">
        <is>
          <t>FY26</t>
        </is>
      </c>
      <c r="I2" s="52" t="inlineStr">
        <is>
          <t>FY27E</t>
        </is>
      </c>
      <c r="J2" s="52" t="inlineStr">
        <is>
          <t>FY28E</t>
        </is>
      </c>
      <c r="K2" s="52" t="inlineStr">
        <is>
          <t>FY29E</t>
        </is>
      </c>
      <c r="L2" s="52" t="inlineStr">
        <is>
          <t>FY30E</t>
        </is>
      </c>
      <c r="M2" s="52" t="inlineStr">
        <is>
          <t>FY31E</t>
        </is>
      </c>
    </row>
    <row r="3">
      <c r="A3" s="53" t="inlineStr">
        <is>
          <t>EQUITY &amp; LIABILITIES</t>
        </is>
      </c>
    </row>
    <row r="4">
      <c r="A4" s="35" t="inlineStr">
        <is>
          <t>Equity Share Capital</t>
        </is>
      </c>
      <c r="C4" s="38" t="n">
        <v>12</v>
      </c>
      <c r="D4" s="38" t="n">
        <v>12</v>
      </c>
      <c r="E4" s="38" t="n">
        <v>12</v>
      </c>
      <c r="F4" s="38" t="n">
        <v>12</v>
      </c>
      <c r="G4" s="38" t="n">
        <v>12</v>
      </c>
      <c r="H4" s="38" t="n">
        <v>12</v>
      </c>
      <c r="I4" s="39">
        <f>H4</f>
        <v/>
      </c>
      <c r="J4" s="39">
        <f>H4</f>
        <v/>
      </c>
      <c r="K4" s="39">
        <f>H4</f>
        <v/>
      </c>
      <c r="L4" s="39">
        <f>H4</f>
        <v/>
      </c>
      <c r="M4" s="39">
        <f>H4</f>
        <v/>
      </c>
    </row>
    <row r="5">
      <c r="A5" s="35" t="inlineStr">
        <is>
          <t>Reserves &amp; Surplus</t>
        </is>
      </c>
      <c r="C5" s="38" t="n">
        <v>726</v>
      </c>
      <c r="D5" s="38" t="n">
        <v>985</v>
      </c>
      <c r="E5" s="38" t="n">
        <v>1273</v>
      </c>
      <c r="F5" s="38" t="n">
        <v>1683</v>
      </c>
      <c r="G5" s="38" t="n">
        <v>2998</v>
      </c>
      <c r="H5" s="38" t="n">
        <v>4665</v>
      </c>
      <c r="I5" s="41">
        <f>H5+IS!I22</f>
        <v/>
      </c>
      <c r="J5" s="41">
        <f>I5+IS!J22</f>
        <v/>
      </c>
      <c r="K5" s="41">
        <f>J5+IS!K22</f>
        <v/>
      </c>
      <c r="L5" s="41">
        <f>K5+IS!L22</f>
        <v/>
      </c>
      <c r="M5" s="41">
        <f>L5+IS!M22</f>
        <v/>
      </c>
    </row>
    <row r="6">
      <c r="A6" s="32" t="inlineStr">
        <is>
          <t>Total Shareholders' Equity</t>
        </is>
      </c>
      <c r="C6" s="42">
        <f>C4+C5</f>
        <v/>
      </c>
      <c r="D6" s="42">
        <f>D4+D5</f>
        <v/>
      </c>
      <c r="E6" s="42">
        <f>E4+E5</f>
        <v/>
      </c>
      <c r="F6" s="42">
        <f>F4+F5</f>
        <v/>
      </c>
      <c r="G6" s="42">
        <f>G4+G5</f>
        <v/>
      </c>
      <c r="H6" s="42">
        <f>H4+H5</f>
        <v/>
      </c>
      <c r="I6" s="42">
        <f>I4+I5</f>
        <v/>
      </c>
      <c r="J6" s="42">
        <f>J4+J5</f>
        <v/>
      </c>
      <c r="K6" s="42">
        <f>K4+K5</f>
        <v/>
      </c>
      <c r="L6" s="42">
        <f>L4+L5</f>
        <v/>
      </c>
      <c r="M6" s="42">
        <f>M4+M5</f>
        <v/>
      </c>
    </row>
    <row r="7">
      <c r="A7" s="35" t="inlineStr">
        <is>
          <t>Minority Interest</t>
        </is>
      </c>
      <c r="C7" s="38" t="n">
        <v>50</v>
      </c>
      <c r="D7" s="38" t="n">
        <v>50</v>
      </c>
      <c r="E7" s="38" t="n">
        <v>50</v>
      </c>
      <c r="F7" s="38" t="n">
        <v>50</v>
      </c>
      <c r="G7" s="38" t="n">
        <v>50</v>
      </c>
      <c r="H7" s="38" t="n">
        <v>50</v>
      </c>
      <c r="I7" s="39" t="n">
        <v>50</v>
      </c>
      <c r="J7" s="39" t="n">
        <v>50</v>
      </c>
      <c r="K7" s="39" t="n">
        <v>50</v>
      </c>
      <c r="L7" s="39" t="n">
        <v>50</v>
      </c>
      <c r="M7" s="39" t="n">
        <v>50</v>
      </c>
    </row>
    <row r="8">
      <c r="A8" s="32" t="inlineStr">
        <is>
          <t>Total Equity (incl. MI)</t>
        </is>
      </c>
      <c r="C8" s="42">
        <f>C6+C7</f>
        <v/>
      </c>
      <c r="D8" s="42">
        <f>D6+D7</f>
        <v/>
      </c>
      <c r="E8" s="42">
        <f>E6+E7</f>
        <v/>
      </c>
      <c r="F8" s="42">
        <f>F6+F7</f>
        <v/>
      </c>
      <c r="G8" s="42">
        <f>G6+G7</f>
        <v/>
      </c>
      <c r="H8" s="42">
        <f>H6+H7</f>
        <v/>
      </c>
      <c r="I8" s="42">
        <f>I6+I7</f>
        <v/>
      </c>
      <c r="J8" s="42">
        <f>J6+J7</f>
        <v/>
      </c>
      <c r="K8" s="42">
        <f>K6+K7</f>
        <v/>
      </c>
      <c r="L8" s="42">
        <f>L6+L7</f>
        <v/>
      </c>
      <c r="M8" s="42">
        <f>M6+M7</f>
        <v/>
      </c>
    </row>
    <row r="10">
      <c r="A10" s="35" t="inlineStr">
        <is>
          <t>Borrowings (Total Debt)</t>
        </is>
      </c>
      <c r="C10" s="38" t="n">
        <v>295</v>
      </c>
      <c r="D10" s="38" t="n">
        <v>667</v>
      </c>
      <c r="E10" s="38" t="n">
        <v>453</v>
      </c>
      <c r="F10" s="38" t="n">
        <v>489</v>
      </c>
      <c r="G10" s="38" t="n">
        <v>671</v>
      </c>
      <c r="H10" s="38" t="n">
        <v>994</v>
      </c>
      <c r="I10" s="39" t="n">
        <v>1100</v>
      </c>
      <c r="J10" s="39" t="n">
        <v>1200</v>
      </c>
      <c r="K10" s="39" t="n">
        <v>1300</v>
      </c>
      <c r="L10" s="39" t="n">
        <v>1350</v>
      </c>
      <c r="M10" s="39" t="n">
        <v>1400</v>
      </c>
    </row>
    <row r="11">
      <c r="A11" s="35" t="inlineStr">
        <is>
          <t>Other Non-Current Liabilities</t>
        </is>
      </c>
      <c r="C11" s="38" t="n">
        <v>363</v>
      </c>
      <c r="D11" s="38" t="n">
        <v>523</v>
      </c>
      <c r="E11" s="38" t="n">
        <v>588</v>
      </c>
      <c r="F11" s="38" t="n">
        <v>961</v>
      </c>
      <c r="G11" s="38" t="n">
        <v>2615</v>
      </c>
      <c r="H11" s="38" t="n">
        <v>2698</v>
      </c>
      <c r="I11" s="39">
        <f>ROUND(H11*1.05,0)</f>
        <v/>
      </c>
      <c r="J11" s="39">
        <f>ROUND(I11*1.05,0)</f>
        <v/>
      </c>
      <c r="K11" s="39">
        <f>ROUND(J11*1.05,0)</f>
        <v/>
      </c>
      <c r="L11" s="39">
        <f>ROUND(K11*1.05,0)</f>
        <v/>
      </c>
      <c r="M11" s="39">
        <f>ROUND(L11*1.05,0)</f>
        <v/>
      </c>
    </row>
    <row r="12">
      <c r="A12" s="32" t="inlineStr">
        <is>
          <t>TOTAL EQUITY &amp; LIABILITIES</t>
        </is>
      </c>
      <c r="C12" s="42">
        <f>C8+C10+C11+C27</f>
        <v/>
      </c>
      <c r="D12" s="42">
        <f>D8+D10+D11+D27</f>
        <v/>
      </c>
      <c r="E12" s="42">
        <f>E8+E10+E11+E27</f>
        <v/>
      </c>
      <c r="F12" s="42">
        <f>F8+F10+F11+F27</f>
        <v/>
      </c>
      <c r="G12" s="42">
        <f>G8+G10+G11+G27</f>
        <v/>
      </c>
      <c r="H12" s="42">
        <f>H8+H10+H11+H27</f>
        <v/>
      </c>
      <c r="I12" s="42">
        <f>I8+I10+I11+I27</f>
        <v/>
      </c>
      <c r="J12" s="42">
        <f>J8+J10+J11+J27</f>
        <v/>
      </c>
      <c r="K12" s="42">
        <f>K8+K10+K11+K27</f>
        <v/>
      </c>
      <c r="L12" s="42">
        <f>L8+L10+L11+L27</f>
        <v/>
      </c>
      <c r="M12" s="42">
        <f>M8+M10+M11+M27</f>
        <v/>
      </c>
    </row>
    <row r="14">
      <c r="A14" s="53" t="inlineStr">
        <is>
          <t>ASSETS</t>
        </is>
      </c>
    </row>
    <row r="15">
      <c r="A15" s="35" t="inlineStr">
        <is>
          <t>Net Fixed Assets (PP&amp;E)</t>
        </is>
      </c>
      <c r="C15" s="38" t="n">
        <v>550</v>
      </c>
      <c r="D15" s="38" t="n">
        <v>1003</v>
      </c>
      <c r="E15" s="38" t="n">
        <v>1244</v>
      </c>
      <c r="F15" s="38" t="n">
        <v>1996</v>
      </c>
      <c r="G15" s="38" t="n">
        <v>2774</v>
      </c>
      <c r="H15" s="38" t="n">
        <v>4172</v>
      </c>
      <c r="I15" s="41">
        <f>ROUND(H15+IS!I3*ASSUMP!C17-IS!I11,0)</f>
        <v/>
      </c>
      <c r="J15" s="41">
        <f>ROUND(I15+IS!J3*ASSUMP!D17-IS!J11,0)</f>
        <v/>
      </c>
      <c r="K15" s="41">
        <f>ROUND(J15+IS!K3*ASSUMP!E17-IS!K11,0)</f>
        <v/>
      </c>
      <c r="L15" s="41">
        <f>ROUND(K15+IS!L3*ASSUMP!F17-IS!L11,0)</f>
        <v/>
      </c>
      <c r="M15" s="41">
        <f>ROUND(L15+IS!M3*ASSUMP!G17-IS!M11,0)</f>
        <v/>
      </c>
    </row>
    <row r="16">
      <c r="A16" s="35" t="inlineStr">
        <is>
          <t>Capital Work-in-Progress (CWIP)</t>
        </is>
      </c>
      <c r="C16" s="38" t="n">
        <v>72</v>
      </c>
      <c r="D16" s="38" t="n">
        <v>22</v>
      </c>
      <c r="E16" s="38" t="n">
        <v>120</v>
      </c>
      <c r="F16" s="38" t="n">
        <v>68</v>
      </c>
      <c r="G16" s="38" t="n">
        <v>257</v>
      </c>
      <c r="H16" s="38" t="n">
        <v>571</v>
      </c>
      <c r="I16" s="39">
        <f>ROUND(IS!I3*ASSUMP!C17*0.10,0)</f>
        <v/>
      </c>
      <c r="J16" s="39">
        <f>ROUND(IS!J3*ASSUMP!D17*0.10,0)</f>
        <v/>
      </c>
      <c r="K16" s="39">
        <f>ROUND(IS!K3*ASSUMP!E17*0.10,0)</f>
        <v/>
      </c>
      <c r="L16" s="39">
        <f>ROUND(IS!L3*ASSUMP!F17*0.10,0)</f>
        <v/>
      </c>
      <c r="M16" s="39">
        <f>ROUND(IS!M3*ASSUMP!G17*0.10,0)</f>
        <v/>
      </c>
    </row>
    <row r="17">
      <c r="A17" s="35" t="inlineStr">
        <is>
          <t>Investments &amp; Other Non-Current Assets</t>
        </is>
      </c>
      <c r="C17" s="38" t="n">
        <v>95</v>
      </c>
      <c r="D17" s="38" t="n">
        <v>141</v>
      </c>
      <c r="E17" s="38" t="n">
        <v>44</v>
      </c>
      <c r="F17" s="38" t="n">
        <v>20</v>
      </c>
      <c r="G17" s="38" t="n">
        <v>536</v>
      </c>
      <c r="H17" s="38" t="n">
        <v>1007</v>
      </c>
      <c r="I17" s="39">
        <f>ROUND(H17*1.05,0)</f>
        <v/>
      </c>
      <c r="J17" s="39">
        <f>ROUND(I17*1.05,0)</f>
        <v/>
      </c>
      <c r="K17" s="39">
        <f>ROUND(J17*1.05,0)</f>
        <v/>
      </c>
      <c r="L17" s="39">
        <f>ROUND(K17*1.05,0)</f>
        <v/>
      </c>
      <c r="M17" s="39">
        <f>ROUND(L17*1.05,0)</f>
        <v/>
      </c>
    </row>
    <row r="19">
      <c r="A19" s="35" t="inlineStr">
        <is>
          <t>Trade Receivables  (Debtor Days)</t>
        </is>
      </c>
      <c r="C19" s="38" t="n">
        <v>883</v>
      </c>
      <c r="D19" s="38" t="n">
        <v>1348</v>
      </c>
      <c r="E19" s="38" t="n">
        <v>1704</v>
      </c>
      <c r="F19" s="38" t="n">
        <v>2326</v>
      </c>
      <c r="G19" s="38" t="n">
        <v>6920</v>
      </c>
      <c r="H19" s="38" t="n">
        <v>6695</v>
      </c>
      <c r="I19" s="41">
        <f>ROUND(IS!I3*ASSUMP!C11/365,0)</f>
        <v/>
      </c>
      <c r="J19" s="41">
        <f>ROUND(IS!J3*ASSUMP!C11/365,0)</f>
        <v/>
      </c>
      <c r="K19" s="41">
        <f>ROUND(IS!K3*ASSUMP!C11/365,0)</f>
        <v/>
      </c>
      <c r="L19" s="41">
        <f>ROUND(IS!L3*ASSUMP!C11/365,0)</f>
        <v/>
      </c>
      <c r="M19" s="41">
        <f>ROUND(IS!M3*ASSUMP!C11/365,0)</f>
        <v/>
      </c>
    </row>
    <row r="20">
      <c r="A20" s="35" t="inlineStr">
        <is>
          <t>Inventories  (Inventory Days)</t>
        </is>
      </c>
      <c r="C20" s="38" t="n">
        <v>707</v>
      </c>
      <c r="D20" s="38" t="n">
        <v>1260</v>
      </c>
      <c r="E20" s="38" t="n">
        <v>1069</v>
      </c>
      <c r="F20" s="38" t="n">
        <v>1890</v>
      </c>
      <c r="G20" s="38" t="n">
        <v>4365</v>
      </c>
      <c r="H20" s="38" t="n">
        <v>5356</v>
      </c>
      <c r="I20" s="41">
        <f>ROUND(IS!I3*ASSUMP!C12/365,0)</f>
        <v/>
      </c>
      <c r="J20" s="41">
        <f>ROUND(IS!J3*ASSUMP!C12/365,0)</f>
        <v/>
      </c>
      <c r="K20" s="41">
        <f>ROUND(IS!K3*ASSUMP!C12/365,0)</f>
        <v/>
      </c>
      <c r="L20" s="41">
        <f>ROUND(IS!L3*ASSUMP!C12/365,0)</f>
        <v/>
      </c>
      <c r="M20" s="41">
        <f>ROUND(IS!M3*ASSUMP!C12/365,0)</f>
        <v/>
      </c>
    </row>
    <row r="21">
      <c r="A21" s="35" t="inlineStr">
        <is>
          <t>Other Current Assets (advances, prepaid, etc.)</t>
        </is>
      </c>
      <c r="C21" s="38" t="n">
        <v>358</v>
      </c>
      <c r="D21" s="38" t="n">
        <v>355</v>
      </c>
      <c r="E21" s="38" t="n">
        <v>238</v>
      </c>
      <c r="F21" s="38" t="n">
        <v>387</v>
      </c>
      <c r="G21" s="38" t="n">
        <v>1621</v>
      </c>
      <c r="H21" s="38" t="n">
        <v>1046</v>
      </c>
      <c r="I21" s="39">
        <f>ROUND(H21*1.08,0)</f>
        <v/>
      </c>
      <c r="J21" s="39">
        <f>ROUND(I21*1.08,0)</f>
        <v/>
      </c>
      <c r="K21" s="39">
        <f>ROUND(J21*1.08,0)</f>
        <v/>
      </c>
      <c r="L21" s="39">
        <f>ROUND(K21*1.08,0)</f>
        <v/>
      </c>
      <c r="M21" s="39">
        <f>ROUND(L21*1.08,0)</f>
        <v/>
      </c>
    </row>
    <row r="22">
      <c r="A22" s="35" t="inlineStr">
        <is>
          <t>Cash &amp; Cash Equivalents  (from CF)</t>
        </is>
      </c>
      <c r="C22" s="38" t="n">
        <v>180</v>
      </c>
      <c r="D22" s="38" t="n">
        <v>148</v>
      </c>
      <c r="E22" s="38" t="n">
        <v>261</v>
      </c>
      <c r="F22" s="38" t="n">
        <v>302</v>
      </c>
      <c r="G22" s="38" t="n">
        <v>285</v>
      </c>
      <c r="H22" s="38" t="n">
        <v>315</v>
      </c>
      <c r="I22" s="41">
        <f>H22+CF!I22</f>
        <v/>
      </c>
      <c r="J22" s="41">
        <f>I22+CF!J22</f>
        <v/>
      </c>
      <c r="K22" s="41">
        <f>J22+CF!K22</f>
        <v/>
      </c>
      <c r="L22" s="41">
        <f>K22+CF!L22</f>
        <v/>
      </c>
      <c r="M22" s="41">
        <f>L22+CF!M22</f>
        <v/>
      </c>
    </row>
    <row r="23">
      <c r="A23" s="32" t="inlineStr">
        <is>
          <t>Total Current Assets</t>
        </is>
      </c>
      <c r="C23" s="42">
        <f>C19+C20+C21+C22</f>
        <v/>
      </c>
      <c r="D23" s="42">
        <f>D19+D20+D21+D22</f>
        <v/>
      </c>
      <c r="E23" s="42">
        <f>E19+E20+E21+E22</f>
        <v/>
      </c>
      <c r="F23" s="42">
        <f>F19+F20+F21+F22</f>
        <v/>
      </c>
      <c r="G23" s="42">
        <f>G19+G20+G21+G22</f>
        <v/>
      </c>
      <c r="H23" s="42">
        <f>H19+H20+H21+H22</f>
        <v/>
      </c>
      <c r="I23" s="42">
        <f>I19+I20+I21+I22</f>
        <v/>
      </c>
      <c r="J23" s="42">
        <f>J19+J20+J21+J22</f>
        <v/>
      </c>
      <c r="K23" s="42">
        <f>K19+K20+K21+K22</f>
        <v/>
      </c>
      <c r="L23" s="42">
        <f>L19+L20+L21+L22</f>
        <v/>
      </c>
      <c r="M23" s="42">
        <f>M19+M20+M21+M22</f>
        <v/>
      </c>
    </row>
    <row r="25">
      <c r="A25" s="35" t="inlineStr">
        <is>
          <t>Trade Payables  (Days Payable)</t>
        </is>
      </c>
      <c r="C25" s="38" t="n">
        <v>1399</v>
      </c>
      <c r="D25" s="38" t="n">
        <v>2218</v>
      </c>
      <c r="E25" s="38" t="n">
        <v>2381</v>
      </c>
      <c r="F25" s="38" t="n">
        <v>3924</v>
      </c>
      <c r="G25" s="38" t="n">
        <v>10400</v>
      </c>
      <c r="H25" s="38" t="n">
        <v>10605</v>
      </c>
      <c r="I25" s="41">
        <f>ROUND(IS!I3*ASSUMP!C14*ASSUMP!C13/365,0)</f>
        <v/>
      </c>
      <c r="J25" s="41">
        <f>ROUND(IS!J3*ASSUMP!C14*ASSUMP!C13/365,0)</f>
        <v/>
      </c>
      <c r="K25" s="41">
        <f>ROUND(IS!K3*ASSUMP!C14*ASSUMP!C13/365,0)</f>
        <v/>
      </c>
      <c r="L25" s="41">
        <f>ROUND(IS!L3*ASSUMP!C14*ASSUMP!C13/365,0)</f>
        <v/>
      </c>
      <c r="M25" s="41">
        <f>ROUND(IS!M3*ASSUMP!C14*ASSUMP!C13/365,0)</f>
        <v/>
      </c>
    </row>
    <row r="26">
      <c r="A26" s="35" t="inlineStr">
        <is>
          <t>Other Current Liabilities (accruals, advances)</t>
        </is>
      </c>
      <c r="C26" s="38" t="n">
        <v>52</v>
      </c>
      <c r="D26" s="38" t="n">
        <v>50</v>
      </c>
      <c r="E26" s="38" t="n">
        <v>50</v>
      </c>
      <c r="F26" s="38" t="n">
        <v>50</v>
      </c>
      <c r="G26" s="38" t="n">
        <v>62</v>
      </c>
      <c r="H26" s="38" t="n">
        <v>188</v>
      </c>
      <c r="I26" s="39">
        <f>ROUND(H26*1.10,0)</f>
        <v/>
      </c>
      <c r="J26" s="39">
        <f>ROUND(I26*1.10,0)</f>
        <v/>
      </c>
      <c r="K26" s="39">
        <f>ROUND(J26*1.10,0)</f>
        <v/>
      </c>
      <c r="L26" s="39">
        <f>ROUND(K26*1.10,0)</f>
        <v/>
      </c>
      <c r="M26" s="39">
        <f>ROUND(L26*1.10,0)</f>
        <v/>
      </c>
    </row>
    <row r="27">
      <c r="A27" s="32" t="inlineStr">
        <is>
          <t>Total Current Liabilities</t>
        </is>
      </c>
      <c r="C27" s="42">
        <f>C25+C26</f>
        <v/>
      </c>
      <c r="D27" s="42">
        <f>D25+D26</f>
        <v/>
      </c>
      <c r="E27" s="42">
        <f>E25+E26</f>
        <v/>
      </c>
      <c r="F27" s="42">
        <f>F25+F26</f>
        <v/>
      </c>
      <c r="G27" s="42">
        <f>G25+G26</f>
        <v/>
      </c>
      <c r="H27" s="42">
        <f>H25+H26</f>
        <v/>
      </c>
      <c r="I27" s="42">
        <f>I25+I26</f>
        <v/>
      </c>
      <c r="J27" s="42">
        <f>J25+J26</f>
        <v/>
      </c>
      <c r="K27" s="42">
        <f>K25+K26</f>
        <v/>
      </c>
      <c r="L27" s="42">
        <f>L25+L26</f>
        <v/>
      </c>
      <c r="M27" s="42">
        <f>M25+M26</f>
        <v/>
      </c>
    </row>
    <row r="29">
      <c r="A29" s="32" t="inlineStr">
        <is>
          <t>Net Working Capital  (CA − CL)</t>
        </is>
      </c>
      <c r="C29" s="42">
        <f>C23-C27</f>
        <v/>
      </c>
      <c r="D29" s="42">
        <f>D23-D27</f>
        <v/>
      </c>
      <c r="E29" s="42">
        <f>E23-E27</f>
        <v/>
      </c>
      <c r="F29" s="42">
        <f>F23-F27</f>
        <v/>
      </c>
      <c r="G29" s="42">
        <f>G23-G27</f>
        <v/>
      </c>
      <c r="H29" s="42">
        <f>H23-H27</f>
        <v/>
      </c>
      <c r="I29" s="42">
        <f>I23-I27</f>
        <v/>
      </c>
      <c r="J29" s="42">
        <f>J23-J27</f>
        <v/>
      </c>
      <c r="K29" s="42">
        <f>K23-K27</f>
        <v/>
      </c>
      <c r="L29" s="42">
        <f>L23-L27</f>
        <v/>
      </c>
      <c r="M29" s="42">
        <f>M23-M27</f>
        <v/>
      </c>
    </row>
    <row r="30">
      <c r="A30" s="32" t="inlineStr">
        <is>
          <t>TOTAL ASSETS</t>
        </is>
      </c>
      <c r="C30" s="42">
        <f>C15+C16+C17+C23</f>
        <v/>
      </c>
      <c r="D30" s="42">
        <f>D15+D16+D17+D23</f>
        <v/>
      </c>
      <c r="E30" s="42">
        <f>E15+E16+E17+E23</f>
        <v/>
      </c>
      <c r="F30" s="42">
        <f>F15+F16+F17+F23</f>
        <v/>
      </c>
      <c r="G30" s="42">
        <f>G15+G16+G17+G23</f>
        <v/>
      </c>
      <c r="H30" s="42">
        <f>H15+H16+H17+H23</f>
        <v/>
      </c>
      <c r="I30" s="42">
        <f>I15+I16+I17+I23</f>
        <v/>
      </c>
      <c r="J30" s="42">
        <f>J15+J16+J17+J23</f>
        <v/>
      </c>
      <c r="K30" s="42">
        <f>K15+K16+K17+K23</f>
        <v/>
      </c>
      <c r="L30" s="42">
        <f>L15+L16+L17+L23</f>
        <v/>
      </c>
      <c r="M30" s="42">
        <f>M15+M16+M17+M23</f>
        <v/>
      </c>
    </row>
    <row r="32">
      <c r="A32" s="32" t="inlineStr">
        <is>
          <t>✔ BALANCE CHECK  (Assets − L&amp;E)  =  0</t>
        </is>
      </c>
      <c r="C32" s="54">
        <f>C30-C12</f>
        <v/>
      </c>
      <c r="D32" s="54">
        <f>D30-D12</f>
        <v/>
      </c>
      <c r="E32" s="54">
        <f>E30-E12</f>
        <v/>
      </c>
      <c r="F32" s="54">
        <f>F30-F12</f>
        <v/>
      </c>
      <c r="G32" s="54">
        <f>G30-G12</f>
        <v/>
      </c>
      <c r="H32" s="54">
        <f>H30-H12</f>
        <v/>
      </c>
      <c r="I32" s="54">
        <f>I30-I12</f>
        <v/>
      </c>
      <c r="J32" s="54">
        <f>J30-J12</f>
        <v/>
      </c>
      <c r="K32" s="54">
        <f>K30-K12</f>
        <v/>
      </c>
      <c r="L32" s="54">
        <f>L30-L12</f>
        <v/>
      </c>
      <c r="M32" s="54">
        <f>M30-M12</f>
        <v/>
      </c>
    </row>
  </sheetData>
  <mergeCells count="3">
    <mergeCell ref="A3:M3"/>
    <mergeCell ref="A14:M14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M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5" t="inlineStr">
        <is>
          <t>CASH FLOW STATEMENT  —  Dixon Technologies (India) Ltd.</t>
        </is>
      </c>
    </row>
    <row r="2" ht="18" customHeight="1">
      <c r="A2" s="30" t="inlineStr">
        <is>
          <t>₹ Crore</t>
        </is>
      </c>
      <c r="C2" s="7" t="inlineStr">
        <is>
          <t>FY21</t>
        </is>
      </c>
      <c r="D2" s="7" t="inlineStr">
        <is>
          <t>FY22</t>
        </is>
      </c>
      <c r="E2" s="7" t="inlineStr">
        <is>
          <t>FY23</t>
        </is>
      </c>
      <c r="F2" s="7" t="inlineStr">
        <is>
          <t>FY24</t>
        </is>
      </c>
      <c r="G2" s="7" t="inlineStr">
        <is>
          <t>FY25</t>
        </is>
      </c>
      <c r="H2" s="7" t="inlineStr">
        <is>
          <t>FY26</t>
        </is>
      </c>
      <c r="I2" s="56" t="inlineStr">
        <is>
          <t>FY27E</t>
        </is>
      </c>
      <c r="J2" s="56" t="inlineStr">
        <is>
          <t>FY28E</t>
        </is>
      </c>
      <c r="K2" s="56" t="inlineStr">
        <is>
          <t>FY29E</t>
        </is>
      </c>
      <c r="L2" s="56" t="inlineStr">
        <is>
          <t>FY30E</t>
        </is>
      </c>
      <c r="M2" s="56" t="inlineStr">
        <is>
          <t>FY31E</t>
        </is>
      </c>
    </row>
    <row r="3">
      <c r="A3" s="57" t="inlineStr">
        <is>
          <t>A.  CASH FLOW FROM OPERATING ACTIVITIES</t>
        </is>
      </c>
    </row>
    <row r="4">
      <c r="A4" s="35" t="inlineStr">
        <is>
          <t xml:space="preserve">   Net Profit (PAT)</t>
        </is>
      </c>
      <c r="C4" s="38" t="n">
        <v>160</v>
      </c>
      <c r="D4" s="38" t="n">
        <v>190</v>
      </c>
      <c r="E4" s="38" t="n">
        <v>255</v>
      </c>
      <c r="F4" s="38" t="n">
        <v>375</v>
      </c>
      <c r="G4" s="38" t="n">
        <v>1233</v>
      </c>
      <c r="H4" s="38" t="n">
        <v>1644</v>
      </c>
      <c r="I4" s="41">
        <f>IS!I18</f>
        <v/>
      </c>
      <c r="J4" s="41">
        <f>IS!J18</f>
        <v/>
      </c>
      <c r="K4" s="41">
        <f>IS!K18</f>
        <v/>
      </c>
      <c r="L4" s="41">
        <f>IS!L18</f>
        <v/>
      </c>
      <c r="M4" s="41">
        <f>IS!M18</f>
        <v/>
      </c>
    </row>
    <row r="5">
      <c r="A5" s="35" t="inlineStr">
        <is>
          <t xml:space="preserve">   Add: Depreciation &amp; Amortisation</t>
        </is>
      </c>
      <c r="C5" s="38" t="n">
        <v>44</v>
      </c>
      <c r="D5" s="38" t="n">
        <v>84</v>
      </c>
      <c r="E5" s="38" t="n">
        <v>115</v>
      </c>
      <c r="F5" s="38" t="n">
        <v>162</v>
      </c>
      <c r="G5" s="38" t="n">
        <v>281</v>
      </c>
      <c r="H5" s="38" t="n">
        <v>393</v>
      </c>
      <c r="I5" s="41">
        <f>IS!I24</f>
        <v/>
      </c>
      <c r="J5" s="41">
        <f>IS!J24</f>
        <v/>
      </c>
      <c r="K5" s="41">
        <f>IS!K24</f>
        <v/>
      </c>
      <c r="L5" s="41">
        <f>IS!L24</f>
        <v/>
      </c>
      <c r="M5" s="41">
        <f>IS!M24</f>
        <v/>
      </c>
    </row>
    <row r="6">
      <c r="A6" s="35" t="inlineStr">
        <is>
          <t xml:space="preserve">   Add: Interest Expense (reclassified to CFF)</t>
        </is>
      </c>
      <c r="C6" s="38" t="n">
        <v>33</v>
      </c>
      <c r="D6" s="38" t="n">
        <v>49</v>
      </c>
      <c r="E6" s="38" t="n">
        <v>64</v>
      </c>
      <c r="F6" s="38" t="n">
        <v>81</v>
      </c>
      <c r="G6" s="38" t="n">
        <v>162</v>
      </c>
      <c r="H6" s="38" t="n">
        <v>137</v>
      </c>
      <c r="I6" s="41">
        <f>IS!I15</f>
        <v/>
      </c>
      <c r="J6" s="41">
        <f>IS!J15</f>
        <v/>
      </c>
      <c r="K6" s="41">
        <f>IS!K15</f>
        <v/>
      </c>
      <c r="L6" s="41">
        <f>IS!L15</f>
        <v/>
      </c>
      <c r="M6" s="41">
        <f>IS!M15</f>
        <v/>
      </c>
    </row>
    <row r="7">
      <c r="A7" s="35" t="inlineStr">
        <is>
          <t xml:space="preserve">   Δ Working Capital  [= −(NWC[t]−NWC[t−1]); from BS]</t>
        </is>
      </c>
      <c r="C7" s="38" t="n">
        <v>-67</v>
      </c>
      <c r="D7" s="38" t="n">
        <v>-50</v>
      </c>
      <c r="E7" s="38" t="n">
        <v>292</v>
      </c>
      <c r="F7" s="38" t="n">
        <v>-34</v>
      </c>
      <c r="G7" s="38" t="n">
        <v>-526</v>
      </c>
      <c r="H7" s="38" t="n">
        <v>-392</v>
      </c>
      <c r="I7" s="41">
        <f>-((BS!I19+BS!I20+BS!I21-BS!I25-BS!I26)-(BS!H19+BS!H20+BS!H21-BS!H25-BS!H26))</f>
        <v/>
      </c>
      <c r="J7" s="41">
        <f>-((BS!J19+BS!J20+BS!J21-BS!J25-BS!J26)-(BS!I19+BS!I20+BS!I21-BS!I25-BS!I26))</f>
        <v/>
      </c>
      <c r="K7" s="41">
        <f>-((BS!K19+BS!K20+BS!K21-BS!K25-BS!K26)-(BS!J19+BS!J20+BS!J21-BS!J25-BS!J26))</f>
        <v/>
      </c>
      <c r="L7" s="41">
        <f>-((BS!L19+BS!L20+BS!L21-BS!L25-BS!L26)-(BS!K19+BS!K20+BS!K21-BS!K25-BS!K26))</f>
        <v/>
      </c>
      <c r="M7" s="41">
        <f>-((BS!M19+BS!M20+BS!M21-BS!M25-BS!M26)-(BS!L19+BS!L20+BS!L21-BS!L25-BS!L26))</f>
        <v/>
      </c>
    </row>
    <row r="8">
      <c r="A8" s="35" t="inlineStr">
        <is>
          <t xml:space="preserve">      Other Operating Adjustments (tax, misc)</t>
        </is>
      </c>
      <c r="C8" s="38" t="n">
        <v>0</v>
      </c>
      <c r="D8" s="38" t="n">
        <v>0</v>
      </c>
      <c r="E8" s="38" t="n">
        <v>0</v>
      </c>
      <c r="F8" s="38" t="n">
        <v>0</v>
      </c>
      <c r="G8" s="38" t="n">
        <v>0</v>
      </c>
      <c r="H8" s="38" t="n">
        <v>0</v>
      </c>
      <c r="I8" s="39">
        <f>0</f>
        <v/>
      </c>
      <c r="J8" s="39">
        <f>0</f>
        <v/>
      </c>
      <c r="K8" s="39">
        <f>0</f>
        <v/>
      </c>
      <c r="L8" s="39">
        <f>0</f>
        <v/>
      </c>
      <c r="M8" s="39">
        <f>0</f>
        <v/>
      </c>
    </row>
    <row r="9">
      <c r="A9" s="32" t="inlineStr">
        <is>
          <t>Cash Flow from Operations (CFO)</t>
        </is>
      </c>
      <c r="C9" s="43" t="n">
        <v>170</v>
      </c>
      <c r="D9" s="43" t="n">
        <v>273</v>
      </c>
      <c r="E9" s="43" t="n">
        <v>726</v>
      </c>
      <c r="F9" s="43" t="n">
        <v>584</v>
      </c>
      <c r="G9" s="43" t="n">
        <v>1150</v>
      </c>
      <c r="H9" s="43" t="n">
        <v>1782</v>
      </c>
      <c r="I9" s="42">
        <f>I4+I5+I6+I7+I8</f>
        <v/>
      </c>
      <c r="J9" s="42">
        <f>J4+J5+J6+J7+J8</f>
        <v/>
      </c>
      <c r="K9" s="42">
        <f>K4+K5+K6+K7+K8</f>
        <v/>
      </c>
      <c r="L9" s="42">
        <f>L4+L5+L6+L7+L8</f>
        <v/>
      </c>
      <c r="M9" s="42">
        <f>M4+M5+M6+M7+M8</f>
        <v/>
      </c>
    </row>
    <row r="11">
      <c r="A11" s="57" t="inlineStr">
        <is>
          <t>B.  CASH FLOW FROM INVESTING ACTIVITIES</t>
        </is>
      </c>
    </row>
    <row r="12">
      <c r="A12" s="35" t="inlineStr">
        <is>
          <t xml:space="preserve">      Capital Expenditure (Capex)</t>
        </is>
      </c>
      <c r="C12" s="38" t="n">
        <v>-265</v>
      </c>
      <c r="D12" s="38" t="n">
        <v>-464</v>
      </c>
      <c r="E12" s="38" t="n">
        <v>-356</v>
      </c>
      <c r="F12" s="38" t="n">
        <v>-531</v>
      </c>
      <c r="G12" s="38" t="n">
        <v>-1093</v>
      </c>
      <c r="H12" s="38" t="n">
        <v>-1251</v>
      </c>
      <c r="I12" s="41">
        <f>-ROUND(IS!I3*ASSUMP!C17,0)</f>
        <v/>
      </c>
      <c r="J12" s="41">
        <f>-ROUND(IS!J3*ASSUMP!D17,0)</f>
        <v/>
      </c>
      <c r="K12" s="41">
        <f>-ROUND(IS!K3*ASSUMP!E17,0)</f>
        <v/>
      </c>
      <c r="L12" s="41">
        <f>-ROUND(IS!L3*ASSUMP!F17,0)</f>
        <v/>
      </c>
      <c r="M12" s="41">
        <f>-ROUND(IS!M3*ASSUMP!G17,0)</f>
        <v/>
      </c>
    </row>
    <row r="13">
      <c r="A13" s="35" t="inlineStr">
        <is>
          <t xml:space="preserve">      Net Investment Activity (acquisitions etc.)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0</v>
      </c>
      <c r="H13" s="38" t="n">
        <v>0</v>
      </c>
      <c r="I13" s="39">
        <f>0</f>
        <v/>
      </c>
      <c r="J13" s="39">
        <f>0</f>
        <v/>
      </c>
      <c r="K13" s="39">
        <f>0</f>
        <v/>
      </c>
      <c r="L13" s="39">
        <f>0</f>
        <v/>
      </c>
      <c r="M13" s="39">
        <f>0</f>
        <v/>
      </c>
    </row>
    <row r="14">
      <c r="A14" s="32" t="inlineStr">
        <is>
          <t>Cash Flow from Investing (CFI)</t>
        </is>
      </c>
      <c r="C14" s="43" t="n">
        <v>-265</v>
      </c>
      <c r="D14" s="43" t="n">
        <v>-464</v>
      </c>
      <c r="E14" s="43" t="n">
        <v>-356</v>
      </c>
      <c r="F14" s="43" t="n">
        <v>-531</v>
      </c>
      <c r="G14" s="43" t="n">
        <v>-1093</v>
      </c>
      <c r="H14" s="43" t="n">
        <v>-1251</v>
      </c>
      <c r="I14" s="42">
        <f>I12+I13</f>
        <v/>
      </c>
      <c r="J14" s="42">
        <f>J12+J13</f>
        <v/>
      </c>
      <c r="K14" s="42">
        <f>K12+K13</f>
        <v/>
      </c>
      <c r="L14" s="42">
        <f>L12+L13</f>
        <v/>
      </c>
      <c r="M14" s="42">
        <f>M12+M13</f>
        <v/>
      </c>
    </row>
    <row r="16">
      <c r="A16" s="57" t="inlineStr">
        <is>
          <t>C.  CASH FLOW FROM FINANCING ACTIVITIES</t>
        </is>
      </c>
    </row>
    <row r="17">
      <c r="A17" s="35" t="inlineStr">
        <is>
          <t xml:space="preserve">      Net Borrowings / (Repayments)</t>
        </is>
      </c>
      <c r="C17" s="38" t="n">
        <v>0</v>
      </c>
      <c r="D17" s="38" t="n">
        <v>372</v>
      </c>
      <c r="E17" s="38" t="n">
        <v>-214</v>
      </c>
      <c r="F17" s="38" t="n">
        <v>36</v>
      </c>
      <c r="G17" s="38" t="n">
        <v>182</v>
      </c>
      <c r="H17" s="38" t="n">
        <v>323</v>
      </c>
      <c r="I17" s="41">
        <f>BS!I10-BS!H10</f>
        <v/>
      </c>
      <c r="J17" s="41">
        <f>BS!J10-BS!I10</f>
        <v/>
      </c>
      <c r="K17" s="41">
        <f>BS!K10-BS!J10</f>
        <v/>
      </c>
      <c r="L17" s="41">
        <f>BS!L10-BS!K10</f>
        <v/>
      </c>
      <c r="M17" s="41">
        <f>BS!M10-BS!L10</f>
        <v/>
      </c>
    </row>
    <row r="18">
      <c r="A18" s="35" t="inlineStr">
        <is>
          <t xml:space="preserve">      Dividends Paid</t>
        </is>
      </c>
      <c r="C18" s="38" t="n">
        <v>-6</v>
      </c>
      <c r="D18" s="38" t="n">
        <v>-11</v>
      </c>
      <c r="E18" s="38" t="n">
        <v>-18</v>
      </c>
      <c r="F18" s="38" t="n">
        <v>-30</v>
      </c>
      <c r="G18" s="38" t="n">
        <v>-49</v>
      </c>
      <c r="H18" s="38" t="n">
        <v>-66</v>
      </c>
      <c r="I18" s="41">
        <f>-IS!I21</f>
        <v/>
      </c>
      <c r="J18" s="41">
        <f>-IS!J21</f>
        <v/>
      </c>
      <c r="K18" s="41">
        <f>-IS!K21</f>
        <v/>
      </c>
      <c r="L18" s="41">
        <f>-IS!L21</f>
        <v/>
      </c>
      <c r="M18" s="41">
        <f>-IS!M21</f>
        <v/>
      </c>
    </row>
    <row r="19">
      <c r="A19" s="35" t="inlineStr">
        <is>
          <t xml:space="preserve">      Interest Paid</t>
        </is>
      </c>
      <c r="C19" s="38" t="n">
        <v>-33</v>
      </c>
      <c r="D19" s="38" t="n">
        <v>-49</v>
      </c>
      <c r="E19" s="38" t="n">
        <v>-64</v>
      </c>
      <c r="F19" s="38" t="n">
        <v>-81</v>
      </c>
      <c r="G19" s="38" t="n">
        <v>-162</v>
      </c>
      <c r="H19" s="38" t="n">
        <v>-137</v>
      </c>
      <c r="I19" s="41">
        <f>-IS!I15</f>
        <v/>
      </c>
      <c r="J19" s="41">
        <f>-IS!J15</f>
        <v/>
      </c>
      <c r="K19" s="41">
        <f>-IS!K15</f>
        <v/>
      </c>
      <c r="L19" s="41">
        <f>-IS!L15</f>
        <v/>
      </c>
      <c r="M19" s="41">
        <f>-IS!M15</f>
        <v/>
      </c>
    </row>
    <row r="20">
      <c r="A20" s="32" t="inlineStr">
        <is>
          <t>Cash Flow from Financing (CFF)</t>
        </is>
      </c>
      <c r="C20" s="43" t="n">
        <v>63</v>
      </c>
      <c r="D20" s="43" t="n">
        <v>304</v>
      </c>
      <c r="E20" s="43" t="n">
        <v>-330</v>
      </c>
      <c r="F20" s="43" t="n">
        <v>-70</v>
      </c>
      <c r="G20" s="43" t="n">
        <v>-27</v>
      </c>
      <c r="H20" s="43" t="n">
        <v>-108</v>
      </c>
      <c r="I20" s="42">
        <f>I17+I18+I19</f>
        <v/>
      </c>
      <c r="J20" s="42">
        <f>J17+J18+J19</f>
        <v/>
      </c>
      <c r="K20" s="42">
        <f>K17+K18+K19</f>
        <v/>
      </c>
      <c r="L20" s="42">
        <f>L17+L18+L19</f>
        <v/>
      </c>
      <c r="M20" s="42">
        <f>M17+M18+M19</f>
        <v/>
      </c>
    </row>
    <row r="22">
      <c r="A22" s="32" t="inlineStr">
        <is>
          <t>NET CHANGE IN CASH  (A + B + C)</t>
        </is>
      </c>
      <c r="C22" s="43" t="n">
        <v>-32</v>
      </c>
      <c r="D22" s="43" t="n">
        <v>113</v>
      </c>
      <c r="E22" s="43" t="n">
        <v>41</v>
      </c>
      <c r="F22" s="43" t="n">
        <v>-17</v>
      </c>
      <c r="G22" s="43" t="n">
        <v>30</v>
      </c>
      <c r="H22" s="43" t="n">
        <v>424</v>
      </c>
      <c r="I22" s="42">
        <f>I9+I14+I20</f>
        <v/>
      </c>
      <c r="J22" s="42">
        <f>J9+J14+J20</f>
        <v/>
      </c>
      <c r="K22" s="42">
        <f>K9+K14+K20</f>
        <v/>
      </c>
      <c r="L22" s="42">
        <f>L9+L14+L20</f>
        <v/>
      </c>
      <c r="M22" s="42">
        <f>M9+M14+M20</f>
        <v/>
      </c>
    </row>
    <row r="23">
      <c r="A23" s="35" t="inlineStr">
        <is>
          <t>Opening Cash Balance</t>
        </is>
      </c>
      <c r="C23" s="38" t="n">
        <v>180</v>
      </c>
      <c r="D23" s="38" t="n">
        <v>148</v>
      </c>
      <c r="E23" s="38" t="n">
        <v>261</v>
      </c>
      <c r="F23" s="38" t="n">
        <v>302</v>
      </c>
      <c r="G23" s="38" t="n">
        <v>285</v>
      </c>
      <c r="H23" s="38" t="n">
        <v>315</v>
      </c>
      <c r="I23" s="41">
        <f>BS!H22</f>
        <v/>
      </c>
      <c r="J23" s="41">
        <f>BS!I22</f>
        <v/>
      </c>
      <c r="K23" s="41">
        <f>BS!J22</f>
        <v/>
      </c>
      <c r="L23" s="41">
        <f>BS!K22</f>
        <v/>
      </c>
      <c r="M23" s="41">
        <f>BS!L22</f>
        <v/>
      </c>
    </row>
    <row r="24">
      <c r="A24" s="32" t="inlineStr">
        <is>
          <t>Closing Cash  [= BS Cash — integration check]</t>
        </is>
      </c>
      <c r="C24" s="54">
        <f>C23+C22</f>
        <v/>
      </c>
      <c r="D24" s="54">
        <f>D23+D22</f>
        <v/>
      </c>
      <c r="E24" s="54">
        <f>E23+E22</f>
        <v/>
      </c>
      <c r="F24" s="54">
        <f>F23+F22</f>
        <v/>
      </c>
      <c r="G24" s="54">
        <f>G23+G22</f>
        <v/>
      </c>
      <c r="H24" s="54">
        <f>H23+H22</f>
        <v/>
      </c>
      <c r="I24" s="54">
        <f>I23+I22</f>
        <v/>
      </c>
      <c r="J24" s="54">
        <f>J23+J22</f>
        <v/>
      </c>
      <c r="K24" s="54">
        <f>K23+K22</f>
        <v/>
      </c>
      <c r="L24" s="54">
        <f>L23+L22</f>
        <v/>
      </c>
      <c r="M24" s="54">
        <f>M23+M22</f>
        <v/>
      </c>
    </row>
  </sheetData>
  <mergeCells count="4">
    <mergeCell ref="A3:M3"/>
    <mergeCell ref="A16:M16"/>
    <mergeCell ref="A11:M11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58" t="inlineStr">
        <is>
          <t>DCF VALUATION  —  Dixon Technologies (India) Ltd.  (FCFF Method)</t>
        </is>
      </c>
    </row>
    <row r="2">
      <c r="A2" s="59" t="inlineStr">
        <is>
          <t>WACC</t>
        </is>
      </c>
      <c r="C2" s="60">
        <f>ASSUMP!C31</f>
        <v/>
      </c>
    </row>
    <row r="3">
      <c r="A3" s="59" t="inlineStr">
        <is>
          <t>Terminal Growth Rate</t>
        </is>
      </c>
      <c r="C3" s="61">
        <f>ASSUMP!C34</f>
        <v/>
      </c>
    </row>
    <row r="4">
      <c r="A4" s="59" t="inlineStr">
        <is>
          <t>Shares (Lakh)</t>
        </is>
      </c>
      <c r="C4" s="62">
        <f>ASSUMP!C35</f>
        <v/>
      </c>
    </row>
    <row r="6">
      <c r="A6" s="63" t="inlineStr">
        <is>
          <t>FCFF BRIDGE  (Forecast Years FY27E–FY31E)</t>
        </is>
      </c>
    </row>
    <row r="7">
      <c r="A7" s="30" t="inlineStr">
        <is>
          <t>₹ Crore</t>
        </is>
      </c>
      <c r="C7" s="64" t="inlineStr">
        <is>
          <t>FY27E</t>
        </is>
      </c>
      <c r="D7" s="64" t="inlineStr">
        <is>
          <t>FY28E</t>
        </is>
      </c>
      <c r="E7" s="64" t="inlineStr">
        <is>
          <t>FY29E</t>
        </is>
      </c>
      <c r="F7" s="64" t="inlineStr">
        <is>
          <t>FY30E</t>
        </is>
      </c>
      <c r="G7" s="64" t="inlineStr">
        <is>
          <t>FY31E</t>
        </is>
      </c>
    </row>
    <row r="8">
      <c r="A8" s="24" t="inlineStr">
        <is>
          <t>Revenue</t>
        </is>
      </c>
      <c r="C8" s="65">
        <f>IS!I3</f>
        <v/>
      </c>
      <c r="D8" s="65">
        <f>IS!J3</f>
        <v/>
      </c>
      <c r="E8" s="65">
        <f>IS!K3</f>
        <v/>
      </c>
      <c r="F8" s="65">
        <f>IS!L3</f>
        <v/>
      </c>
      <c r="G8" s="65">
        <f>IS!M3</f>
        <v/>
      </c>
    </row>
    <row r="9">
      <c r="A9" s="66" t="inlineStr">
        <is>
          <t>NOPAT  (= EBIT × (1−t))</t>
        </is>
      </c>
      <c r="C9" s="67">
        <f>IS!I25</f>
        <v/>
      </c>
      <c r="D9" s="67">
        <f>IS!J25</f>
        <v/>
      </c>
      <c r="E9" s="67">
        <f>IS!K25</f>
        <v/>
      </c>
      <c r="F9" s="67">
        <f>IS!L25</f>
        <v/>
      </c>
      <c r="G9" s="67">
        <f>IS!M25</f>
        <v/>
      </c>
    </row>
    <row r="10">
      <c r="A10" s="24" t="inlineStr">
        <is>
          <t>Add: Depreciation &amp; Amortisation</t>
        </is>
      </c>
      <c r="C10" s="65">
        <f>IS!I24</f>
        <v/>
      </c>
      <c r="D10" s="65">
        <f>IS!J24</f>
        <v/>
      </c>
      <c r="E10" s="65">
        <f>IS!K24</f>
        <v/>
      </c>
      <c r="F10" s="65">
        <f>IS!L24</f>
        <v/>
      </c>
      <c r="G10" s="65">
        <f>IS!M24</f>
        <v/>
      </c>
    </row>
    <row r="11">
      <c r="A11" s="24" t="inlineStr">
        <is>
          <t>Less: Capex</t>
        </is>
      </c>
      <c r="C11" s="65">
        <f>-CF!I12</f>
        <v/>
      </c>
      <c r="D11" s="65">
        <f>-CF!J12</f>
        <v/>
      </c>
      <c r="E11" s="65">
        <f>-CF!K12</f>
        <v/>
      </c>
      <c r="F11" s="65">
        <f>-CF!L12</f>
        <v/>
      </c>
      <c r="G11" s="65">
        <f>-CF!M12</f>
        <v/>
      </c>
    </row>
    <row r="12">
      <c r="A12" s="24" t="inlineStr">
        <is>
          <t>Less/Add: Δ Working Capital  [from BS]</t>
        </is>
      </c>
      <c r="C12" s="65">
        <f>CF!I7</f>
        <v/>
      </c>
      <c r="D12" s="65">
        <f>CF!J7</f>
        <v/>
      </c>
      <c r="E12" s="65">
        <f>CF!K7</f>
        <v/>
      </c>
      <c r="F12" s="65">
        <f>CF!L7</f>
        <v/>
      </c>
      <c r="G12" s="65">
        <f>CF!M7</f>
        <v/>
      </c>
    </row>
    <row r="13">
      <c r="A13" s="66" t="inlineStr">
        <is>
          <t>FREE CASH FLOW TO FIRM (FCFF)</t>
        </is>
      </c>
      <c r="C13" s="42">
        <f>C9+C10-C11+C12</f>
        <v/>
      </c>
      <c r="D13" s="42">
        <f>D9+D10-D11+D12</f>
        <v/>
      </c>
      <c r="E13" s="42">
        <f>E9+E10-E11+E12</f>
        <v/>
      </c>
      <c r="F13" s="42">
        <f>F9+F10-F11+F12</f>
        <v/>
      </c>
      <c r="G13" s="42">
        <f>G9+G10-G11+G12</f>
        <v/>
      </c>
    </row>
    <row r="14">
      <c r="A14" s="24" t="inlineStr">
        <is>
          <t>Discount Period (mid-year)</t>
        </is>
      </c>
      <c r="C14" s="68" t="n">
        <v>0.5</v>
      </c>
      <c r="D14" s="68" t="n">
        <v>1.5</v>
      </c>
      <c r="E14" s="68" t="n">
        <v>2.5</v>
      </c>
      <c r="F14" s="68" t="n">
        <v>3.5</v>
      </c>
      <c r="G14" s="68" t="n">
        <v>4.5</v>
      </c>
    </row>
    <row r="15">
      <c r="A15" s="24" t="inlineStr">
        <is>
          <t>Discount Factor  [1/(1+WACC)^n]</t>
        </is>
      </c>
      <c r="C15" s="69">
        <f>1/(1+ASSUMP!C31)^C14</f>
        <v/>
      </c>
      <c r="D15" s="69">
        <f>1/(1+ASSUMP!C31)^D14</f>
        <v/>
      </c>
      <c r="E15" s="69">
        <f>1/(1+ASSUMP!C31)^E14</f>
        <v/>
      </c>
      <c r="F15" s="69">
        <f>1/(1+ASSUMP!C31)^F14</f>
        <v/>
      </c>
      <c r="G15" s="69">
        <f>1/(1+ASSUMP!C31)^G14</f>
        <v/>
      </c>
    </row>
    <row r="16">
      <c r="A16" s="66" t="inlineStr">
        <is>
          <t>PV of FCFF</t>
        </is>
      </c>
      <c r="C16" s="48">
        <f>C13*C15</f>
        <v/>
      </c>
      <c r="D16" s="48">
        <f>D13*D15</f>
        <v/>
      </c>
      <c r="E16" s="48">
        <f>E13*E15</f>
        <v/>
      </c>
      <c r="F16" s="48">
        <f>F13*F15</f>
        <v/>
      </c>
      <c r="G16" s="48">
        <f>G13*G15</f>
        <v/>
      </c>
    </row>
    <row r="18">
      <c r="A18" s="63" t="inlineStr">
        <is>
          <t>TERMINAL VALUE  (Gordon Growth)</t>
        </is>
      </c>
    </row>
    <row r="19">
      <c r="A19" s="24" t="inlineStr">
        <is>
          <t>Terminal FCFF = FCFF_FY31E × (1+TGR)</t>
        </is>
      </c>
      <c r="C19" s="70">
        <f>G13*(1+ASSUMP!C34)</f>
        <v/>
      </c>
    </row>
    <row r="20">
      <c r="A20" s="66" t="inlineStr">
        <is>
          <t>Terminal Value = Terminal FCFF / (WACC − TGR)</t>
        </is>
      </c>
      <c r="C20" s="42">
        <f>C19/(ASSUMP!C31-ASSUMP!C34)</f>
        <v/>
      </c>
    </row>
    <row r="21">
      <c r="A21" s="24" t="inlineStr">
        <is>
          <t>TV Discount Period</t>
        </is>
      </c>
      <c r="C21" s="71" t="n">
        <v>5</v>
      </c>
    </row>
    <row r="22">
      <c r="A22" s="66" t="inlineStr">
        <is>
          <t>PV of Terminal Value</t>
        </is>
      </c>
      <c r="C22" s="42">
        <f>C20/(1+ASSUMP!C31)^C21</f>
        <v/>
      </c>
    </row>
    <row r="24">
      <c r="A24" s="63" t="inlineStr">
        <is>
          <t>ENTERPRISE VALUE BRIDGE  →  EQUITY VALUE  →  PRICE</t>
        </is>
      </c>
    </row>
    <row r="25">
      <c r="A25" s="24" t="inlineStr">
        <is>
          <t>Sum of PV(FCFF)  FY27E–FY31E</t>
        </is>
      </c>
      <c r="C25" s="72">
        <f>SUM(C16:G16)</f>
        <v/>
      </c>
    </row>
    <row r="26">
      <c r="A26" s="24" t="inlineStr">
        <is>
          <t>Add: PV of Terminal Value</t>
        </is>
      </c>
      <c r="C26" s="70">
        <f>C22</f>
        <v/>
      </c>
    </row>
    <row r="27">
      <c r="A27" s="73" t="inlineStr">
        <is>
          <t>ENTERPRISE VALUE (EV)</t>
        </is>
      </c>
      <c r="C27" s="74">
        <f>C25+C26</f>
        <v/>
      </c>
    </row>
    <row r="29">
      <c r="A29" s="24" t="inlineStr">
        <is>
          <t>Less: Total Debt (FY26A)</t>
        </is>
      </c>
      <c r="C29" s="65">
        <f>-(BS!H10)</f>
        <v/>
      </c>
    </row>
    <row r="30">
      <c r="A30" s="24" t="inlineStr">
        <is>
          <t>Add: Cash &amp; Equivalents (FY26A)</t>
        </is>
      </c>
      <c r="C30" s="65">
        <f>BS!H22</f>
        <v/>
      </c>
    </row>
    <row r="31">
      <c r="A31" s="24" t="inlineStr">
        <is>
          <t>Less: Minority Interest (FY26A)</t>
        </is>
      </c>
      <c r="C31" s="65">
        <f>-(BS!H7)</f>
        <v/>
      </c>
    </row>
    <row r="32">
      <c r="A32" s="73" t="inlineStr">
        <is>
          <t>EQUITY VALUE  (₹ Crore)</t>
        </is>
      </c>
      <c r="C32" s="74">
        <f>C27+C29+C30+C31</f>
        <v/>
      </c>
    </row>
    <row r="34">
      <c r="A34" s="24" t="inlineStr">
        <is>
          <t>Shares Outstanding (Lakh)</t>
        </is>
      </c>
      <c r="C34" s="75">
        <f>ASSUMP!C35</f>
        <v/>
      </c>
    </row>
    <row r="35">
      <c r="A35" s="76" t="inlineStr">
        <is>
          <t>IMPLIED SHARE PRICE  (₹ / share)</t>
        </is>
      </c>
      <c r="C35" s="77">
        <f>ROUND(C32*100/C34,0)</f>
        <v/>
      </c>
    </row>
    <row r="37">
      <c r="A37" s="24" t="inlineStr">
        <is>
          <t>Current Market Price (₹)  [manual input]</t>
        </is>
      </c>
      <c r="C37" s="78" t="n">
        <v>13000</v>
      </c>
    </row>
    <row r="38">
      <c r="A38" s="24" t="inlineStr">
        <is>
          <t>Upside / (Downside) %</t>
        </is>
      </c>
      <c r="C38" s="79">
        <f>C35/C37-1</f>
        <v/>
      </c>
    </row>
  </sheetData>
  <mergeCells count="4">
    <mergeCell ref="A1:I1"/>
    <mergeCell ref="A18:I18"/>
    <mergeCell ref="A24:I24"/>
    <mergeCell ref="A6:I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38135"/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80" t="inlineStr">
        <is>
          <t>SENSITIVITY ANALYSIS  —  Implied Share Price (₹) vs WACC × TGR</t>
        </is>
      </c>
    </row>
    <row r="3">
      <c r="A3" s="59" t="inlineStr">
        <is>
          <t>WACC ↓  /  TGR →</t>
        </is>
      </c>
      <c r="B3" s="81" t="inlineStr">
        <is>
          <t>4.0%</t>
        </is>
      </c>
      <c r="C3" s="81" t="inlineStr">
        <is>
          <t>4.5%</t>
        </is>
      </c>
      <c r="D3" s="81" t="inlineStr">
        <is>
          <t>5.0%</t>
        </is>
      </c>
      <c r="E3" s="81" t="inlineStr">
        <is>
          <t>5.5%</t>
        </is>
      </c>
      <c r="F3" s="81" t="inlineStr">
        <is>
          <t>6.0%</t>
        </is>
      </c>
      <c r="G3" s="81" t="inlineStr">
        <is>
          <t>6.5%</t>
        </is>
      </c>
      <c r="H3" s="81" t="inlineStr">
        <is>
          <t>7.0%</t>
        </is>
      </c>
    </row>
    <row r="4">
      <c r="A4" s="31" t="inlineStr">
        <is>
          <t>11.0%</t>
        </is>
      </c>
      <c r="B4" s="82" t="n">
        <v>3407</v>
      </c>
      <c r="C4" s="82" t="n">
        <v>3641</v>
      </c>
      <c r="D4" s="82" t="n">
        <v>3914</v>
      </c>
      <c r="E4" s="82" t="n">
        <v>4237</v>
      </c>
      <c r="F4" s="82" t="n">
        <v>4624</v>
      </c>
      <c r="G4" s="82" t="n">
        <v>5098</v>
      </c>
      <c r="H4" s="82" t="n">
        <v>5689</v>
      </c>
    </row>
    <row r="5">
      <c r="A5" s="31" t="inlineStr">
        <is>
          <t>12.0%</t>
        </is>
      </c>
      <c r="B5" s="82" t="n">
        <v>2923</v>
      </c>
      <c r="C5" s="82" t="n">
        <v>3095</v>
      </c>
      <c r="D5" s="82" t="n">
        <v>3290</v>
      </c>
      <c r="E5" s="82" t="n">
        <v>3516</v>
      </c>
      <c r="F5" s="82" t="n">
        <v>3780</v>
      </c>
      <c r="G5" s="82" t="n">
        <v>4091</v>
      </c>
      <c r="H5" s="82" t="n">
        <v>4465</v>
      </c>
    </row>
    <row r="6">
      <c r="A6" s="31" t="inlineStr">
        <is>
          <t>12.5%</t>
        </is>
      </c>
      <c r="B6" s="82" t="n">
        <v>2725</v>
      </c>
      <c r="C6" s="82" t="n">
        <v>2874</v>
      </c>
      <c r="D6" s="82" t="n">
        <v>3042</v>
      </c>
      <c r="E6" s="82" t="n">
        <v>3234</v>
      </c>
      <c r="F6" s="82" t="n">
        <v>3456</v>
      </c>
      <c r="G6" s="82" t="n">
        <v>3715</v>
      </c>
      <c r="H6" s="82" t="n">
        <v>4021</v>
      </c>
    </row>
    <row r="7">
      <c r="A7" s="31" t="inlineStr">
        <is>
          <t>13.0%</t>
        </is>
      </c>
      <c r="B7" s="82" t="n">
        <v>2549</v>
      </c>
      <c r="C7" s="82" t="n">
        <v>2679</v>
      </c>
      <c r="D7" s="82" t="n">
        <v>2825</v>
      </c>
      <c r="E7" s="82" t="n">
        <v>2990</v>
      </c>
      <c r="F7" s="82" t="n">
        <v>3179</v>
      </c>
      <c r="G7" s="82" t="n">
        <v>3397</v>
      </c>
      <c r="H7" s="82" t="n">
        <v>3651</v>
      </c>
    </row>
    <row r="8">
      <c r="A8" s="31" t="inlineStr">
        <is>
          <t>13.6%</t>
        </is>
      </c>
      <c r="B8" s="82" t="n">
        <v>2363</v>
      </c>
      <c r="C8" s="82" t="n">
        <v>2474</v>
      </c>
      <c r="D8" s="82" t="n">
        <v>2598</v>
      </c>
      <c r="E8" s="83" t="n">
        <v>2738</v>
      </c>
      <c r="F8" s="82" t="n">
        <v>2896</v>
      </c>
      <c r="G8" s="82" t="n">
        <v>3076</v>
      </c>
      <c r="H8" s="82" t="n">
        <v>3283</v>
      </c>
    </row>
    <row r="9">
      <c r="A9" s="31" t="inlineStr">
        <is>
          <t>14.0%</t>
        </is>
      </c>
      <c r="B9" s="82" t="n">
        <v>2252</v>
      </c>
      <c r="C9" s="82" t="n">
        <v>2353</v>
      </c>
      <c r="D9" s="82" t="n">
        <v>2465</v>
      </c>
      <c r="E9" s="82" t="n">
        <v>2590</v>
      </c>
      <c r="F9" s="82" t="n">
        <v>2731</v>
      </c>
      <c r="G9" s="82" t="n">
        <v>2890</v>
      </c>
      <c r="H9" s="82" t="n">
        <v>3073</v>
      </c>
    </row>
    <row r="10">
      <c r="A10" s="31" t="inlineStr">
        <is>
          <t>15.0%</t>
        </is>
      </c>
      <c r="B10" s="82" t="n">
        <v>2010</v>
      </c>
      <c r="C10" s="82" t="n">
        <v>2090</v>
      </c>
      <c r="D10" s="82" t="n">
        <v>2178</v>
      </c>
      <c r="E10" s="82" t="n">
        <v>2275</v>
      </c>
      <c r="F10" s="82" t="n">
        <v>2383</v>
      </c>
      <c r="G10" s="82" t="n">
        <v>2504</v>
      </c>
      <c r="H10" s="82" t="n">
        <v>2640</v>
      </c>
    </row>
    <row r="11">
      <c r="A11" s="31" t="inlineStr">
        <is>
          <t>16.0%</t>
        </is>
      </c>
      <c r="B11" s="82" t="n">
        <v>1809</v>
      </c>
      <c r="C11" s="82" t="n">
        <v>1874</v>
      </c>
      <c r="D11" s="82" t="n">
        <v>1944</v>
      </c>
      <c r="E11" s="82" t="n">
        <v>2022</v>
      </c>
      <c r="F11" s="82" t="n">
        <v>2107</v>
      </c>
      <c r="G11" s="82" t="n">
        <v>2201</v>
      </c>
      <c r="H11" s="82" t="n">
        <v>2305</v>
      </c>
    </row>
    <row r="14">
      <c r="A14" s="21" t="inlineStr">
        <is>
          <t>Note: Highlighted cell = base-case WACC/TGR. Values computed using forecast FCFF from ASSUMP assumptions.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A1" s="84" t="inlineStr">
        <is>
          <t>PEER COMPARABLES  —  EMS / Electronics Sector  (India)</t>
        </is>
      </c>
    </row>
    <row r="2">
      <c r="A2" s="7" t="inlineStr">
        <is>
          <t>Company</t>
        </is>
      </c>
      <c r="B2" s="7" t="inlineStr">
        <is>
          <t>NSE Ticker</t>
        </is>
      </c>
      <c r="C2" s="7" t="inlineStr">
        <is>
          <t>Mkt Cap (₹Cr)</t>
        </is>
      </c>
      <c r="D2" s="7" t="inlineStr">
        <is>
          <t>Revenue (₹Cr)</t>
        </is>
      </c>
      <c r="E2" s="7" t="inlineStr">
        <is>
          <t>EBITDA%</t>
        </is>
      </c>
      <c r="F2" s="7" t="inlineStr">
        <is>
          <t>PAT Margin%</t>
        </is>
      </c>
      <c r="G2" s="7" t="inlineStr">
        <is>
          <t>P/E (FY26)</t>
        </is>
      </c>
      <c r="H2" s="7" t="inlineStr">
        <is>
          <t>EV/EBITDA</t>
        </is>
      </c>
      <c r="I2" s="7" t="inlineStr">
        <is>
          <t>ROCE%</t>
        </is>
      </c>
      <c r="J2" s="7" t="inlineStr">
        <is>
          <t>Notes</t>
        </is>
      </c>
    </row>
    <row r="3">
      <c r="A3" s="85" t="inlineStr">
        <is>
          <t>Dixon Technologies</t>
        </is>
      </c>
      <c r="B3" s="86" t="inlineStr">
        <is>
          <t>DIXON</t>
        </is>
      </c>
      <c r="C3" s="86" t="inlineStr">
        <is>
          <t>88,000</t>
        </is>
      </c>
      <c r="D3" s="86" t="inlineStr">
        <is>
          <t>48,873</t>
        </is>
      </c>
      <c r="E3" s="86" t="inlineStr">
        <is>
          <t>3.8%</t>
        </is>
      </c>
      <c r="F3" s="86" t="inlineStr">
        <is>
          <t>3.4%</t>
        </is>
      </c>
      <c r="G3" s="86" t="inlineStr">
        <is>
          <t>55x</t>
        </is>
      </c>
      <c r="H3" s="86" t="inlineStr">
        <is>
          <t>45x</t>
        </is>
      </c>
      <c r="I3" s="86" t="inlineStr">
        <is>
          <t>40%</t>
        </is>
      </c>
      <c r="J3" s="86" t="inlineStr">
        <is>
          <t>Subject company</t>
        </is>
      </c>
    </row>
    <row r="4">
      <c r="A4" s="87" t="inlineStr">
        <is>
          <t>Amber Enterprises</t>
        </is>
      </c>
      <c r="B4" s="88" t="inlineStr">
        <is>
          <t>AMBER</t>
        </is>
      </c>
      <c r="C4" s="88" t="inlineStr">
        <is>
          <t>18,500</t>
        </is>
      </c>
      <c r="D4" s="88" t="inlineStr">
        <is>
          <t>7,800</t>
        </is>
      </c>
      <c r="E4" s="88" t="inlineStr">
        <is>
          <t>5.2%</t>
        </is>
      </c>
      <c r="F4" s="88" t="inlineStr">
        <is>
          <t>2.1%</t>
        </is>
      </c>
      <c r="G4" s="88" t="inlineStr">
        <is>
          <t>58x</t>
        </is>
      </c>
      <c r="H4" s="88" t="inlineStr">
        <is>
          <t>38x</t>
        </is>
      </c>
      <c r="I4" s="88" t="inlineStr">
        <is>
          <t>18%</t>
        </is>
      </c>
      <c r="J4" s="88" t="inlineStr">
        <is>
          <t>AC/RAC components</t>
        </is>
      </c>
    </row>
    <row r="5">
      <c r="A5" s="87" t="inlineStr">
        <is>
          <t>Kaynes Technology</t>
        </is>
      </c>
      <c r="B5" s="88" t="inlineStr">
        <is>
          <t>KAYNES</t>
        </is>
      </c>
      <c r="C5" s="88" t="inlineStr">
        <is>
          <t>22,000</t>
        </is>
      </c>
      <c r="D5" s="88" t="inlineStr">
        <is>
          <t>2,800</t>
        </is>
      </c>
      <c r="E5" s="88" t="inlineStr">
        <is>
          <t>14.5%</t>
        </is>
      </c>
      <c r="F5" s="88" t="inlineStr">
        <is>
          <t>9.5%</t>
        </is>
      </c>
      <c r="G5" s="88" t="inlineStr">
        <is>
          <t>95x</t>
        </is>
      </c>
      <c r="H5" s="88" t="inlineStr">
        <is>
          <t>65x</t>
        </is>
      </c>
      <c r="I5" s="88" t="inlineStr">
        <is>
          <t>22%</t>
        </is>
      </c>
      <c r="J5" s="88" t="inlineStr">
        <is>
          <t>Embedded electronics</t>
        </is>
      </c>
    </row>
    <row r="6">
      <c r="A6" s="87" t="inlineStr">
        <is>
          <t>Syrma SGS</t>
        </is>
      </c>
      <c r="B6" s="88" t="inlineStr">
        <is>
          <t>SYRMA</t>
        </is>
      </c>
      <c r="C6" s="88" t="inlineStr">
        <is>
          <t xml:space="preserve"> 7,200</t>
        </is>
      </c>
      <c r="D6" s="88" t="inlineStr">
        <is>
          <t>3,100</t>
        </is>
      </c>
      <c r="E6" s="88" t="inlineStr">
        <is>
          <t>6.8%</t>
        </is>
      </c>
      <c r="F6" s="88" t="inlineStr">
        <is>
          <t>3.9%</t>
        </is>
      </c>
      <c r="G6" s="88" t="inlineStr">
        <is>
          <t>62x</t>
        </is>
      </c>
      <c r="H6" s="88" t="inlineStr">
        <is>
          <t>30x</t>
        </is>
      </c>
      <c r="I6" s="88" t="inlineStr">
        <is>
          <t>15%</t>
        </is>
      </c>
      <c r="J6" s="88" t="inlineStr">
        <is>
          <t>PCB assemblies</t>
        </is>
      </c>
    </row>
    <row r="7">
      <c r="A7" s="87" t="inlineStr">
        <is>
          <t>Avalon Technologies</t>
        </is>
      </c>
      <c r="B7" s="88" t="inlineStr">
        <is>
          <t>AVALON</t>
        </is>
      </c>
      <c r="C7" s="88" t="inlineStr">
        <is>
          <t xml:space="preserve"> 3,500</t>
        </is>
      </c>
      <c r="D7" s="88" t="inlineStr">
        <is>
          <t>1,500</t>
        </is>
      </c>
      <c r="E7" s="88" t="inlineStr">
        <is>
          <t>7.5%</t>
        </is>
      </c>
      <c r="F7" s="88" t="inlineStr">
        <is>
          <t>5.0%</t>
        </is>
      </c>
      <c r="G7" s="88" t="inlineStr">
        <is>
          <t>45x</t>
        </is>
      </c>
      <c r="H7" s="88" t="inlineStr">
        <is>
          <t>25x</t>
        </is>
      </c>
      <c r="I7" s="88" t="inlineStr">
        <is>
          <t>19%</t>
        </is>
      </c>
      <c r="J7" s="88" t="inlineStr">
        <is>
          <t>Smart meters / EMS</t>
        </is>
      </c>
    </row>
    <row r="8">
      <c r="A8" s="87" t="inlineStr">
        <is>
          <t>PG Electroplast</t>
        </is>
      </c>
      <c r="B8" s="88" t="inlineStr">
        <is>
          <t>PGEL</t>
        </is>
      </c>
      <c r="C8" s="88" t="inlineStr">
        <is>
          <t xml:space="preserve"> 9,800</t>
        </is>
      </c>
      <c r="D8" s="88" t="inlineStr">
        <is>
          <t>5,200</t>
        </is>
      </c>
      <c r="E8" s="88" t="inlineStr">
        <is>
          <t>5.0%</t>
        </is>
      </c>
      <c r="F8" s="88" t="inlineStr">
        <is>
          <t>3.2%</t>
        </is>
      </c>
      <c r="G8" s="88" t="inlineStr">
        <is>
          <t>70x</t>
        </is>
      </c>
      <c r="H8" s="88" t="inlineStr">
        <is>
          <t>35x</t>
        </is>
      </c>
      <c r="I8" s="88" t="inlineStr">
        <is>
          <t>25%</t>
        </is>
      </c>
      <c r="J8" s="88" t="inlineStr">
        <is>
          <t>AC/washing machine</t>
        </is>
      </c>
    </row>
    <row r="11">
      <c r="A11" s="89" t="inlineStr">
        <is>
          <t>Disclaimer: Peer data sourced from Screener.in public financials &amp; market data (June 2026). For academic reference only. Subject company financials are model-derived.</t>
        </is>
      </c>
    </row>
  </sheetData>
  <mergeCells count="2">
    <mergeCell ref="A1:J1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2026-06-29T15:35:38Z</dcterms:created>
  <dcterms:modified xmlns:dcterms="http://purl.org/dc/terms/" xmlns:xsi="http://www.w3.org/2001/XMLSchema-instance" xsi:type="dcterms:W3CDTF">2026-06-29T15:35:38Z</dcterms:modified>
</cp:coreProperties>
</file>